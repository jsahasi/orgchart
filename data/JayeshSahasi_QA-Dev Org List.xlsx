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on24.sharepoint.com/Engineering/Agile/Shared Documents/Admin/ON24 Org list/"/>
    </mc:Choice>
  </mc:AlternateContent>
  <xr:revisionPtr revIDLastSave="0" documentId="8_{0CFBED1B-2A2D-4F72-B640-6F660A5E9415}" xr6:coauthVersionLast="47" xr6:coauthVersionMax="47" xr10:uidLastSave="{00000000-0000-0000-0000-000000000000}"/>
  <bookViews>
    <workbookView xWindow="-80" yWindow="-80" windowWidth="19360" windowHeight="11440" firstSheet="3" activeTab="3" xr2:uid="{00000000-000D-0000-FFFF-FFFF00000000}"/>
  </bookViews>
  <sheets>
    <sheet name="Product-Design" sheetId="4" r:id="rId1"/>
    <sheet name="Full QA Org" sheetId="1" r:id="rId2"/>
    <sheet name="Full Dev Org" sheetId="2" r:id="rId3"/>
    <sheet name="ORG" sheetId="11" r:id="rId4"/>
    <sheet name="TPM" sheetId="5" r:id="rId5"/>
    <sheet name="Dashboard" sheetId="3" r:id="rId6"/>
    <sheet name="Total count" sheetId="6" r:id="rId7"/>
    <sheet name="Deactivated-QA &amp; Dev" sheetId="7" r:id="rId8"/>
    <sheet name="SCRUM Team Count" sheetId="8" r:id="rId9"/>
    <sheet name="Pivot table" sheetId="9" state="hidden" r:id="rId10"/>
    <sheet name="Sheet2" sheetId="15" r:id="rId11"/>
    <sheet name="Sheet1" sheetId="10" r:id="rId12"/>
    <sheet name="Shefali" sheetId="16" r:id="rId13"/>
    <sheet name="Rumana" sheetId="17" r:id="rId14"/>
    <sheet name="QA Automation" sheetId="19" r:id="rId15"/>
    <sheet name="Jenny" sheetId="18" r:id="rId16"/>
    <sheet name="Sheet3" sheetId="20" r:id="rId17"/>
  </sheets>
  <definedNames>
    <definedName name="_xlnm._FilterDatabase" localSheetId="2" hidden="1">'Full Dev Org'!$A$1:$N$80</definedName>
    <definedName name="_xlnm._FilterDatabase" localSheetId="1" hidden="1">'Full QA Org'!$A$1:$K$100</definedName>
    <definedName name="_xlnm._FilterDatabase" localSheetId="3" hidden="1">ORG!$B$1:$E$1</definedName>
    <definedName name="_xlnm._FilterDatabase" localSheetId="13" hidden="1">Rumana!$A$1:$D$21</definedName>
    <definedName name="_xlnm._FilterDatabase" localSheetId="15" hidden="1">Jenny!$A$1:$D$19</definedName>
    <definedName name="Slicer_Employment">#N/A</definedName>
    <definedName name="Slicer_Team">#N/A</definedName>
  </definedNames>
  <calcPr calcId="191028"/>
  <pivotCaches>
    <pivotCache cacheId="656" r:id="rId18"/>
    <pivotCache cacheId="657"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8" l="1"/>
  <c r="E32" i="8"/>
  <c r="F32" i="8"/>
  <c r="G32" i="8"/>
  <c r="D32" i="8"/>
  <c r="N34" i="10"/>
  <c r="N28" i="10"/>
  <c r="O28" i="10" s="1"/>
  <c r="K25" i="10"/>
  <c r="J19" i="10"/>
  <c r="G9" i="8"/>
  <c r="G11" i="8"/>
  <c r="E64" i="8"/>
  <c r="H67" i="8"/>
  <c r="I67" i="8" s="1"/>
  <c r="H73" i="8"/>
  <c r="M5" i="10" l="1"/>
  <c r="M4" i="10"/>
  <c r="M3" i="10"/>
  <c r="M2" i="10"/>
  <c r="AA38" i="8"/>
  <c r="AA39" i="8"/>
  <c r="AA40" i="8"/>
  <c r="L15" i="8"/>
  <c r="E15" i="8" s="1"/>
  <c r="K17" i="8"/>
  <c r="K15" i="8"/>
  <c r="D15" i="8" s="1"/>
  <c r="K16" i="8"/>
  <c r="D16" i="8" s="1"/>
  <c r="D9" i="8"/>
  <c r="I27" i="8"/>
  <c r="H27" i="8"/>
  <c r="I32" i="8"/>
  <c r="G10" i="8"/>
  <c r="E10" i="8"/>
  <c r="D10" i="8"/>
  <c r="I9" i="8"/>
  <c r="E11" i="8"/>
  <c r="I11" i="8" s="1"/>
  <c r="D11" i="8"/>
  <c r="M16" i="8"/>
  <c r="F16" i="8" s="1"/>
  <c r="M7" i="8"/>
  <c r="F7" i="8" s="1"/>
  <c r="M8" i="8"/>
  <c r="M10" i="8"/>
  <c r="F10" i="8" s="1"/>
  <c r="M11" i="8"/>
  <c r="M9" i="8"/>
  <c r="F9" i="8" s="1"/>
  <c r="M15" i="8"/>
  <c r="F15" i="8" s="1"/>
  <c r="F11" i="8"/>
  <c r="D17" i="8"/>
  <c r="G15" i="8"/>
  <c r="E17" i="8"/>
  <c r="K13" i="8"/>
  <c r="G17" i="8"/>
  <c r="F17" i="8"/>
  <c r="E14" i="8"/>
  <c r="K14" i="8"/>
  <c r="D14" i="8" s="1"/>
  <c r="N14" i="8"/>
  <c r="G14" i="8" s="1"/>
  <c r="M14" i="8"/>
  <c r="F14" i="8" s="1"/>
  <c r="E12" i="8"/>
  <c r="D12" i="8"/>
  <c r="G12" i="8"/>
  <c r="I12" i="8" s="1"/>
  <c r="M12" i="8"/>
  <c r="F12" i="8" s="1"/>
  <c r="H12" i="8" s="1"/>
  <c r="D13" i="8"/>
  <c r="E13" i="8"/>
  <c r="G13" i="8"/>
  <c r="M13" i="8"/>
  <c r="F13" i="8" s="1"/>
  <c r="E8" i="8"/>
  <c r="K8" i="8"/>
  <c r="D8" i="8" s="1"/>
  <c r="N8" i="8"/>
  <c r="G8" i="8" s="1"/>
  <c r="N16" i="8"/>
  <c r="G16" i="8" s="1"/>
  <c r="F8" i="8"/>
  <c r="E16" i="8"/>
  <c r="N7" i="8"/>
  <c r="G7" i="8" s="1"/>
  <c r="K7" i="8"/>
  <c r="L11" i="6"/>
  <c r="H10" i="8" l="1"/>
  <c r="I10" i="8"/>
  <c r="G19" i="8"/>
  <c r="D19" i="8"/>
  <c r="F19" i="8"/>
  <c r="E19" i="8"/>
  <c r="I15" i="8"/>
  <c r="H14" i="8"/>
  <c r="H7" i="8"/>
  <c r="H8" i="8"/>
  <c r="I8" i="8"/>
  <c r="H9" i="8"/>
  <c r="H15" i="8"/>
  <c r="H11" i="8"/>
  <c r="I14" i="8"/>
  <c r="I7" i="8"/>
  <c r="I13" i="8"/>
  <c r="H13" i="8"/>
  <c r="H17" i="8"/>
  <c r="I17" i="8"/>
  <c r="I16" i="8"/>
  <c r="H16" i="8"/>
  <c r="L82" i="2"/>
  <c r="J100" i="1"/>
  <c r="I19" i="8" l="1"/>
  <c r="H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tc={374283BC-0859-2643-908B-9E54BE035742}</author>
    <author>tc={C902FD49-B230-FE4E-9A6C-427C4D884FFA}</author>
  </authors>
  <commentList>
    <comment ref="B97" authorId="0" shapeId="0" xr:uid="{374283BC-0859-2643-908B-9E54BE035742}">
      <text>
        <t>[Threaded comment]
Your version of Excel allows you to read this threaded comment; however, any edits to it will get removed if the file is opened in a newer version of Excel. Learn more: https://go.microsoft.com/fwlink/?linkid=870924
Comment:
    @Jagjit Singh @Kashan Babar jyothi should be full time. not contractor
Reply:
    never mind.. wrong jyothi..</t>
      </text>
    </comment>
    <comment ref="E103" authorId="1" shapeId="0" xr:uid="{C902FD49-B230-FE4E-9A6C-427C4D884FFA}">
      <text>
        <t>[Threaded comment]
Your version of Excel allows you to read this threaded comment; however, any edits to it will get removed if the file is opened in a newer version of Excel. Learn more: https://go.microsoft.com/fwlink/?linkid=870924
Comment:
    @Kashan Babar @Jagjit Singh this should be 20, same on the dashboard
Reply:
    nevermind.. I understand oleg is not counted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tc={C23B908F-9175-4E54-A3AD-68403FCC385B}</author>
    <author>tc={FE92824E-8E6E-BD4F-8A4C-4E4714BE3DDF}</author>
    <author>tc={CF5B7BD2-0E58-AC4F-9788-7D01C1425A3A}</author>
  </authors>
  <commentList>
    <comment ref="F51" authorId="0" shapeId="0" xr:uid="{C23B908F-9175-4E54-A3AD-68403FCC385B}">
      <text>
        <t>[Threaded comment]
Your version of Excel allows you to read this threaded comment; however, any edits to it will get removed if the file is opened in a newer version of Excel. Learn more: https://go.microsoft.com/fwlink/?linkid=870924
Comment:
    @Kashan Babar  changed the 3 guys from tools to engg support</t>
      </text>
    </comment>
    <comment ref="D78" authorId="1" shapeId="0" xr:uid="{FE92824E-8E6E-BD4F-8A4C-4E4714BE3DDF}">
      <text>
        <t>[Threaded comment]
Your version of Excel allows you to read this threaded comment; however, any edits to it will get removed if the file is opened in a newer version of Excel. Learn more: https://go.microsoft.com/fwlink/?linkid=870924
Comment:
    @Jagjit Singh @Kashan Babar this should be contractor
Reply:
    @Jaimini Joshi fixed</t>
      </text>
    </comment>
    <comment ref="K97" authorId="2" shapeId="0" xr:uid="{CF5B7BD2-0E58-AC4F-9788-7D01C1425A3A}">
      <text>
        <t>[Threaded comment]
Your version of Excel allows you to read this threaded comment; however, any edits to it will get removed if the file is opened in a newer version of Excel. Learn more: https://go.microsoft.com/fwlink/?linkid=870924
Comment:
    @Jagjit Singh nouka missing
cc @Kashan Babar
Reply:
    Felipe Ferreira missing vids team
Reply:
    Rajkamal Carpenter missing integrations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tc={90120C7E-44A6-2446-8679-0E3B4BCB5D06}</author>
  </authors>
  <commentList>
    <comment ref="J13" authorId="0" shapeId="0" xr:uid="{90120C7E-44A6-2446-8679-0E3B4BCB5D06}">
      <text>
        <t>[Threaded comment]
Your version of Excel allows you to read this threaded comment; however, any edits to it will get removed if the file is opened in a newer version of Excel. Learn more: https://go.microsoft.com/fwlink/?linkid=870924
Comment:
    should be 37 - ankit jain contractor likely needs to be removed
Reply:
    Per Shishir: This is LMS india team dev, we have used them as per project basis for IOS app screenshare for Vonage.</t>
      </text>
    </comment>
  </commentList>
</comments>
</file>

<file path=xl/sharedStrings.xml><?xml version="1.0" encoding="utf-8"?>
<sst xmlns="http://schemas.openxmlformats.org/spreadsheetml/2006/main" count="3393" uniqueCount="746">
  <si>
    <t>Reports To</t>
  </si>
  <si>
    <t>Name</t>
  </si>
  <si>
    <t>Employment</t>
  </si>
  <si>
    <t>Team</t>
  </si>
  <si>
    <t>FT/Cont Count</t>
  </si>
  <si>
    <t>Total Count</t>
  </si>
  <si>
    <t>FT</t>
  </si>
  <si>
    <t>Contractor</t>
  </si>
  <si>
    <t>Total</t>
  </si>
  <si>
    <t>Steve Sims</t>
  </si>
  <si>
    <t>Kevin Miller</t>
  </si>
  <si>
    <t>Full Time</t>
  </si>
  <si>
    <t>Product Mgmt</t>
  </si>
  <si>
    <t>5 FTs</t>
  </si>
  <si>
    <t>Jared Chappin</t>
  </si>
  <si>
    <t>Salma Bargach</t>
  </si>
  <si>
    <t>Felix Biju</t>
  </si>
  <si>
    <t>Trupti Telang</t>
  </si>
  <si>
    <t>UI/UX</t>
  </si>
  <si>
    <t>Michael Lin</t>
  </si>
  <si>
    <t>1 Ft</t>
  </si>
  <si>
    <t>Janani Venkatachalam</t>
  </si>
  <si>
    <t>UX</t>
  </si>
  <si>
    <t>2 FTs
1 Contractor</t>
  </si>
  <si>
    <t>Sanel Selimovic</t>
  </si>
  <si>
    <t>Siqi Xia</t>
  </si>
  <si>
    <t>Title</t>
  </si>
  <si>
    <t>Teams</t>
  </si>
  <si>
    <t>Why are they important to the team, uniqueness (2-3 sentences)</t>
  </si>
  <si>
    <t>Start Date</t>
  </si>
  <si>
    <t>Contribution (4=Key; 3=Important; 2=Solid; 1=acceptable)</t>
  </si>
  <si>
    <t>Count</t>
  </si>
  <si>
    <t>FT count</t>
  </si>
  <si>
    <t>Contractor count</t>
  </si>
  <si>
    <t>Oleg Massakovskyy</t>
  </si>
  <si>
    <t>C-Hari Prasad</t>
  </si>
  <si>
    <t>Contractor – QA Automation</t>
  </si>
  <si>
    <t>Automation</t>
  </si>
  <si>
    <t>Performs daily QA automation for the Elite Studio project, maintaining and fixing code to ensure reliable test coverage.</t>
  </si>
  <si>
    <t xml:space="preserve">3 Fts
11 Contractors
</t>
  </si>
  <si>
    <t>Analytics</t>
  </si>
  <si>
    <t>Keep all names. For anyone who left the QA team, set Column D to “Deactivated.</t>
  </si>
  <si>
    <t>Rumana Ilyas</t>
  </si>
  <si>
    <t>Director, QA</t>
  </si>
  <si>
    <t>Dir</t>
  </si>
  <si>
    <t>Integrations</t>
  </si>
  <si>
    <t>Jenny Wai Li</t>
  </si>
  <si>
    <t>Senior Director, QA</t>
  </si>
  <si>
    <t>Elite Admin</t>
  </si>
  <si>
    <t>Shefali Singh</t>
  </si>
  <si>
    <t>Ehub</t>
  </si>
  <si>
    <t>C-Divya Kag</t>
  </si>
  <si>
    <t>Handles day-to-day QA automation for the  Analytics project, maintaining and troubleshooting automation code to ensure dependable test coverage.</t>
  </si>
  <si>
    <t>Go Live</t>
  </si>
  <si>
    <t>Ashish Oza</t>
  </si>
  <si>
    <t>Contractor – Director, QA</t>
  </si>
  <si>
    <t>Leads the contractors QA teams across projects, ensuring consistent quality and timely delivery. Establishes testing standards, aligns resources to priorities, and mitigates release risk to maintain operational stability.</t>
  </si>
  <si>
    <t>Console</t>
  </si>
  <si>
    <t>C-Nikhil Bornare</t>
  </si>
  <si>
    <t>Contractor – QA Engineer</t>
  </si>
  <si>
    <t>Executes daily QA automation for the Forums project, maintaining and fixing code to ensure reliable test coverage.</t>
  </si>
  <si>
    <t>VC</t>
  </si>
  <si>
    <t>C-Mohit Talera</t>
  </si>
  <si>
    <t>Leads QA automation for the Console project, designing and maintaining automated tests to ensure stable releases and good coverage.</t>
  </si>
  <si>
    <t>Forums</t>
  </si>
  <si>
    <t>Manak Choyal</t>
  </si>
  <si>
    <t>Contractor – Lead QA Automation</t>
  </si>
  <si>
    <t>Leads automation architecture across all projects and defines the team’s technical standards. Builds the core frameworks himself when needed, and most of the team’s automation achievements are driven by his direct contributions, including R&amp;D and POC validation.</t>
  </si>
  <si>
    <t>ES</t>
  </si>
  <si>
    <t>C-Chetan Kushwah</t>
  </si>
  <si>
    <t>Leads QA automation for the GoLive project, ensuring stable releases and solid coverage.</t>
  </si>
  <si>
    <t>Vids/Vibbio</t>
  </si>
  <si>
    <t>Sumeet Patidar</t>
  </si>
  <si>
    <t>Leads QA automation and contributes to R&amp;D and POC initiatives. Owns key automation work for ERR and VC projects and serves as backup to the Automation Architect, ensuring continuity in technical leadership and delivery.</t>
  </si>
  <si>
    <t xml:space="preserve">08/06/18
</t>
  </si>
  <si>
    <t>Vaishali Jaiswal</t>
  </si>
  <si>
    <t>Leads QA automation for the Analytics, Segmentation projects, ensuring stable releases and solid coverage.</t>
  </si>
  <si>
    <t>Dir's</t>
  </si>
  <si>
    <t>C-Srijan Parihar</t>
  </si>
  <si>
    <t>Contractor – QA</t>
  </si>
  <si>
    <t>Executes daily QA automation for the Orion project, maintaining and fixing code to ensure reliable test coverage.</t>
  </si>
  <si>
    <t>AI</t>
  </si>
  <si>
    <t>C-Kumar Saurabh</t>
  </si>
  <si>
    <t>Leads test automation for the VIDs/Vibbio projects, contributing to stable and predictable releases.</t>
  </si>
  <si>
    <t>C-Abhishek Tanwar</t>
  </si>
  <si>
    <t>Contractor (QA)</t>
  </si>
  <si>
    <t>P10Console</t>
  </si>
  <si>
    <t>He is reliable, completes work steadily, and supports the team effectively.</t>
  </si>
  <si>
    <t xml:space="preserve">4 Fts
15 Contractors
</t>
  </si>
  <si>
    <t>C-Surbhi Porwal</t>
  </si>
  <si>
    <t>QA Engineer (InfoHorizon)</t>
  </si>
  <si>
    <t>P10-Console Forums</t>
  </si>
  <si>
    <t>knowlegeable, efficient, team contributor -tests well , points key issues, analytical qualities</t>
  </si>
  <si>
    <t>Prakash Mandwal</t>
  </si>
  <si>
    <t>Contractor – Sr. QA Engineer</t>
  </si>
  <si>
    <t>key contributor, excellent knowledge on application, QA lead for Automation priortize all Automation with accountability.</t>
  </si>
  <si>
    <t>C-Gargeya Borgaonkar</t>
  </si>
  <si>
    <t>P10Console Forums</t>
  </si>
  <si>
    <t xml:space="preserve">He is newbie improved a lot comparing to earlier ,learning and adpting quickly, meets expectation
</t>
  </si>
  <si>
    <t>Manjeet Singh</t>
  </si>
  <si>
    <t>P10Console/Forums/Vids-Vibbio</t>
  </si>
  <si>
    <t xml:space="preserve">Has deep knowledge on all P10projects mitigates and plans well team efficency &amp; good communcation and show total accountability, Manges the India team </t>
  </si>
  <si>
    <t>Nov'10</t>
  </si>
  <si>
    <t>Rahul Yadav</t>
  </si>
  <si>
    <t>Major contributor for forum testing, deep knowlwedge on Platform, Mitagetes and works closesly with the entire team</t>
  </si>
  <si>
    <t>Priyanka Jain</t>
  </si>
  <si>
    <t>Key contributor, understanding and tests very well ,works close with the P10 resources on day to day task.</t>
  </si>
  <si>
    <t>Vimala Gandham</t>
  </si>
  <si>
    <t>Senior Lead QA Engineer</t>
  </si>
  <si>
    <t>C-Tushar Gaurawat</t>
  </si>
  <si>
    <t>knowledgeable and approachable , good communication, works on daily task and contributes towrds automation</t>
  </si>
  <si>
    <t>Alumelu Govindareddy</t>
  </si>
  <si>
    <t>Senior QA Engineer</t>
  </si>
  <si>
    <t>C-Mohini Verma</t>
  </si>
  <si>
    <t>Contractor (QA Engineer)</t>
  </si>
  <si>
    <t>Delivered consistently on diffrent projects, puts a lot of effort in understanding the task at hand and executes.</t>
  </si>
  <si>
    <t>C-Yashdeep Singh</t>
  </si>
  <si>
    <t>ensures in testing with clarity, pro active in following up with cross/team members for queries</t>
  </si>
  <si>
    <t>Abhijeet Joshi</t>
  </si>
  <si>
    <t xml:space="preserve">P10Console Forums-40% Vids-Vibbio-60% </t>
  </si>
  <si>
    <t>Major contributor to P10 projects, quick learner and works well in pressure situations, does deep anlusis of testing effort</t>
  </si>
  <si>
    <t>Nurlan Shukurlu</t>
  </si>
  <si>
    <t>C-Ashwijt Khaire</t>
  </si>
  <si>
    <t>Good in daily tasks, delivery what is needed, meets the work expectation</t>
  </si>
  <si>
    <t>C-Vedika Soni</t>
  </si>
  <si>
    <t xml:space="preserve"> consistently delivers thorough test coverage and identifies critical edge cases before release.</t>
  </si>
  <si>
    <t>C-Sourabh Samediya</t>
  </si>
  <si>
    <t>Major performs well in automation and coordinates effectively with automation and manual team, test with clarity</t>
  </si>
  <si>
    <t>C-Ajay Pal</t>
  </si>
  <si>
    <t>Jyothi Mittapalli</t>
  </si>
  <si>
    <t xml:space="preserve">P10Console Forums-60% Vids-Vibbio-40% </t>
  </si>
  <si>
    <t>Shailja Singh</t>
  </si>
  <si>
    <t>VC 10% &amp; Ehub 90%</t>
  </si>
  <si>
    <t xml:space="preserve">3 FTs
14 Contractors
</t>
  </si>
  <si>
    <t>Mohit Sengar</t>
  </si>
  <si>
    <t xml:space="preserve">Mohit leads QA for Ehub, Target, and Nurture Page, ensuring high-quality, stable releases that directly support customer experience and business continuity. He drives cross-functional alignment and upholds strong quality standards across critical initiatives. He currently represents a single point of failure, as no fully trained backup is in place to assume his responsibilities if needed.
</t>
  </si>
  <si>
    <t>C-Anshul Sahu</t>
  </si>
  <si>
    <t>goLive</t>
  </si>
  <si>
    <t>Anshul validates GoLive features from the end-user perspective, ensuring a seamless and intuitive experience. By proactively identifying usability and workflow gaps, he consistently enhances overall product quality.</t>
  </si>
  <si>
    <t>Yan Sarnovskiy</t>
  </si>
  <si>
    <t>Lead QA Engineer</t>
  </si>
  <si>
    <t>C-Apurva Choudary</t>
  </si>
  <si>
    <t>GoLive</t>
  </si>
  <si>
    <t>Apurva works closely with Syamala, serving as the final quality gatekeeper to ensure readiness and accountability before each launch. Through disciplined execution and sound judgment, she builds strong stakeholder confidence and drives reliable release outcomes.</t>
  </si>
  <si>
    <t>C-Shubhi Badole</t>
  </si>
  <si>
    <t>Shubhi is essential to the QA team through her expertise in test automation and framework optimization. She improves regression efficiency and reduces manual effort, enabling faster and more reliable release</t>
  </si>
  <si>
    <t>C-Anurag Padiyar</t>
  </si>
  <si>
    <t>VC 20% &amp; GoLive 70%</t>
  </si>
  <si>
    <t>Anurag is a quick learner. Although he jus join us for a few months, but he start to pick up both VC &amp; GoLive projects.</t>
  </si>
  <si>
    <t>Keshav Jaiswal</t>
  </si>
  <si>
    <t>Keshav plays a key role on the Ehub team by ensuring thorough test coverage across complex features. His strong attention to detail and ability to identify edge cases help prevent production defects. </t>
  </si>
  <si>
    <t>C-Gourav Tomar</t>
  </si>
  <si>
    <t>Gourav consistently delivers thorough test coverage and identifies critical edge cases before release. </t>
  </si>
  <si>
    <t>Syamala Bantupalli</t>
  </si>
  <si>
    <t>Syamala leads the GoLive QA team, providing clear quality direction and ensuring testing aligns with business priorities. She drives risk-based decisions that safeguard release stability and reinforce stakeholder trust.</t>
  </si>
  <si>
    <t>Ajay Kumar Gupta</t>
  </si>
  <si>
    <t>Ajay is another key player in Ehub team. He executes test plans with precision and strong ownership. Reduces defect leakage by proactively validating complex workflows.</t>
  </si>
  <si>
    <t>Yadav Singh Parmar</t>
  </si>
  <si>
    <t xml:space="preserve">Yadav collaborates closely with Mohit to support QA efforts for Ehub, Target, and Nurture Page. He plays a key role in advancing automation processes, driving higher efficiency and overall QA quality across projects.
</t>
  </si>
  <si>
    <t>Sandeep Chaubey</t>
  </si>
  <si>
    <t>Contractor – QA Lead</t>
  </si>
  <si>
    <t>VC 90% &amp; goLive 10%</t>
  </si>
  <si>
    <t>Sandeep leads the VC and GoLive teams, driving automation optimization to improve delivery speed, scalability, and regression reliability. His leadership ensures efficient, high-quality releases that support business agility and customer commitments. He currently represents a potential single point of failure, as there is no fully trained backup to assume full ownership of these responsibilities if he is unavailable.</t>
  </si>
  <si>
    <t>Nikhila Aradhyula</t>
  </si>
  <si>
    <t>QA Engineer</t>
  </si>
  <si>
    <t>C-Subhani Singh</t>
  </si>
  <si>
    <t>VC 40% &amp; Ehub 60%</t>
  </si>
  <si>
    <t>Subhani works closely with Sandeep and Mohit across both VC and Ehub initiatives, serving as a highly trusted and dependable team member. She is invaluable to both projects through her strong expertise in test automation and framework optimization. Her technical depth and reliability significantly enhance efficiency and release quality.</t>
  </si>
  <si>
    <t>Nikhil Bhatt</t>
  </si>
  <si>
    <t>Nikhil contributes across both VC and Ehub projects, demonstrating strong flexibility and adaptability. He quickly adjusts to evolving business priorities and effectively supports multiple initiatives in parallel. </t>
  </si>
  <si>
    <t>C-Megha Upadhayay</t>
  </si>
  <si>
    <t>Megha is able to quickly isolates root causes and collaborates effectively to resolve defects. Improves release quality through analytical thinking and structured validation. </t>
  </si>
  <si>
    <t>c-Neeti Sharma</t>
  </si>
  <si>
    <t>Presenter</t>
  </si>
  <si>
    <t>Oversees end-to-end ES automation, with a strong understanding of ES product  functional workflows and deep expertise across key operational areas.</t>
  </si>
  <si>
    <t>9 FTs
39 Contractors</t>
  </si>
  <si>
    <t>Pushpendra Tiwari</t>
  </si>
  <si>
    <t>Eng Tools</t>
  </si>
  <si>
    <t>A key team asset who manages tools reporting, possesses strong awareness of cross-product dependencies, and effectively leads the India team.</t>
  </si>
  <si>
    <t>Chitralekha Dwivedi</t>
  </si>
  <si>
    <t>A highly valuable team member with extensive expertise in APIs and third-party integrations, successfully leading these areas while managing the India team.</t>
  </si>
  <si>
    <t>C-Akshay Mandloi</t>
  </si>
  <si>
    <t>A highly knowledgeable and efficient professional who consistently delivers rigorous testing, proactively identifies critical and high-impact issues, and applies strong analytical acumen to drive quality and performance excellence.</t>
  </si>
  <si>
    <t>C-Prerna Sharma</t>
  </si>
  <si>
    <t>A dependable and high-impact contributor who drives quality through meticulous testing, surfaces critical risks early, and leverages strong analytical insight to strengthen team outcomes and decision-making.</t>
  </si>
  <si>
    <t>Gurmeet Singh</t>
  </si>
  <si>
    <t>A major team asset who leads Analytics and Segmentation initiatives across all ON24 applications, ensuring high-quality analytics outputs while effectively managing the India team, with deep expertise in the analytics module that makes him a key driver of the team’s success.</t>
  </si>
  <si>
    <t>c-Akshay Patidar</t>
  </si>
  <si>
    <t>Great experienced and  knowledgeable contributor for the Admin application, adept at rigorous testing, identifying critical issues, and leveraging strong analytical skills to ensure top-tier quality and reliability.</t>
  </si>
  <si>
    <t>c-Mahima Malviya</t>
  </si>
  <si>
    <t>Analytics -Segmentation</t>
  </si>
  <si>
    <t>Consistently reliable in daily tasks, delivers required outcomes efficiently, and meets or exceeds work expectations.</t>
  </si>
  <si>
    <t>C-Rishabh Joshi</t>
  </si>
  <si>
    <t>An insightful and proactive team member who enhances the Admin application through precise testing, early identification of critical issues, and thoughtful analysis that strengthens overall team effectiveness.</t>
  </si>
  <si>
    <t>c-Bhushan Mahire</t>
  </si>
  <si>
    <t>A highly dependable professional who consistently manages daily responsibilities with efficiency, delivers accurate and timely results, anticipates needs, and consistently meets organizational expectations..</t>
  </si>
  <si>
    <t>Helly Tanna</t>
  </si>
  <si>
    <t>Elite Admin/AI</t>
  </si>
  <si>
    <t>Olga Grama</t>
  </si>
  <si>
    <t>c-Ravi Singh</t>
  </si>
  <si>
    <t>A highly dependable and proactive professional who consistently manages daily responsibilities with efficiency, delivers accurate and timely results, anticipates potential issues, contributes positively to team goals</t>
  </si>
  <si>
    <t>C-Kanika Dixit</t>
  </si>
  <si>
    <t xml:space="preserve"> A major asset, with deep technical expertise in APIs, Segmentations, Integrations, and other ON24 products, possessing the cross-product knowledge essential for mastering the Segmentation module.  she is committed to quality delivery and proactively asks questions until full clarity is achieved</t>
  </si>
  <si>
    <t>Rohit Jha</t>
  </si>
  <si>
    <t xml:space="preserve">A star team member with comprehensive knowledge of all Admin products, serving as the go-to expert for any questions on Admin functionality. In addition to managing the India team, ensures smooth operations, provides guidance to peers, and drives high-quality, reliable outcomes. </t>
  </si>
  <si>
    <t>C-Bhagwan Soni</t>
  </si>
  <si>
    <t>A capable and reliable team member, he approaches work methodically, uncovers key issues through precise testing of complex admin areas</t>
  </si>
  <si>
    <t>Paul Zarzecki</t>
  </si>
  <si>
    <t>QA Manager</t>
  </si>
  <si>
    <t>Elite Studio</t>
  </si>
  <si>
    <t>Lilia Tulei</t>
  </si>
  <si>
    <t>Fong Xiong</t>
  </si>
  <si>
    <t>Elite Studio/Forums</t>
  </si>
  <si>
    <t>C-Tarun Sakalley</t>
  </si>
  <si>
    <t>QA Contractor</t>
  </si>
  <si>
    <t>Dependable in routine responsibilities, ensures timely and accurate delivery of work, and consistently fulfills expected performance standards.</t>
  </si>
  <si>
    <t>C-Shruti Joshi</t>
  </si>
  <si>
    <t>A highly valued and versatile contributor with extensive API expertise, known for precision, insight, and strong problem-solving skills, who proactively identifies critical issues, maintains data integrity, and optimizes integrations for maximum efficiency.</t>
  </si>
  <si>
    <t>C-Shobhit Shrivas</t>
  </si>
  <si>
    <t>A reliable and hardworking team member who handles day-to-day responsibilities efficiently, delivers work accurately and on time, takes initiative when challenges arise,</t>
  </si>
  <si>
    <t>C-Rishi Shrivastava</t>
  </si>
  <si>
    <t>A knowledgeable and efficient team contributor, consistently hardworking, who leverages deep understanding of the complex Admin tool to perform thorough testing, identify critical issues, and apply strong analytical skills, driving reliable and high-quality outcomes.</t>
  </si>
  <si>
    <t>Pavel Preyomyshev</t>
  </si>
  <si>
    <t>Marina Belova</t>
  </si>
  <si>
    <t>Elite Studio/Eng Tools</t>
  </si>
  <si>
    <t>C-Gourav Shukla</t>
  </si>
  <si>
    <t>Analytics-Segmentation</t>
  </si>
  <si>
    <t>Consistently reliable in handling daily tasks, delivers required outcomes effectively, and meets or exceeds work expectations.</t>
  </si>
  <si>
    <t>C-Sumit Verma</t>
  </si>
  <si>
    <t>Elite studio Forums</t>
  </si>
  <si>
    <t>A valuable team member with deep expertise in the Vonage testing domain, who works independently with minimal supervision, demonstrating consistent hard work, dedication, and sincerity.</t>
  </si>
  <si>
    <t>C-Roma Jain</t>
  </si>
  <si>
    <t>Great team contributor who conducts thorough testing, identifies critical issues based on the AC, demonstrates strong analytical  and debugging skills, learns quickly, follows processes diligently, and performs effectively under guidance.</t>
  </si>
  <si>
    <t>C-Priya Chouhan</t>
  </si>
  <si>
    <t>Eng Tools /ES Forums</t>
  </si>
  <si>
    <t>C-Pooja Thakur</t>
  </si>
  <si>
    <t>A valuable team member who has gained expertise across multiple areas of the Admin tool, developed a strong understanding of the registration module, comprehends all hidden rules, and proactively identifies any missing acceptance criteria within her areas of expertise.</t>
  </si>
  <si>
    <t>Abel Cruz</t>
  </si>
  <si>
    <t>C-Mayank Khede</t>
  </si>
  <si>
    <t>A highly skilled and indispensable team member who leverages deep expertise in report data, executes thorough testing with efficiency, proactively identifies critical issues, and applies strong analytical insight to drive team success.</t>
  </si>
  <si>
    <t>C-Shreya Raghuwanshi</t>
  </si>
  <si>
    <t xml:space="preserve">A very good  team member with nice knowledge of report logic, underlying tables, and data flows, who conducts rigorous testing, proactively asks insightful questions, identifies critical issues, , consistently driving high-quality outcomes </t>
  </si>
  <si>
    <t>C-Rahul Sharma</t>
  </si>
  <si>
    <t>A proactive and detail-oriented team member, he excels at testing, spotting key issues, and applying his product knowlege really well</t>
  </si>
  <si>
    <t>Preeti Sharma</t>
  </si>
  <si>
    <t>Elite Admin/Elite Admin forums</t>
  </si>
  <si>
    <t>C-Nikhil Sharma</t>
  </si>
  <si>
    <t>He brings a sharp analytical mind to the team, efficiently executing tests and highlighting the most important issues. His knowledge and proactive contributions make him a key driver of quality and team success.</t>
  </si>
  <si>
    <t>C-Kushal Saitwal</t>
  </si>
  <si>
    <t>On the integration side, he possesses strong working knowledge of several third-party integrations and testing, which is crucial for the business. He is an important key member of the team, with deep expertise in third-party integrations.</t>
  </si>
  <si>
    <t>C-Harsh Parasher</t>
  </si>
  <si>
    <t>He is an important key member with end-to-end knowledge of a wide range of ON24 reports, consistently ensuring accuracy and reliability in data delivery. His expertise allows him to identify issues quickly,</t>
  </si>
  <si>
    <t>Ajay Yadav</t>
  </si>
  <si>
    <t>He is an important key member with deep knowledge of the ON24 Admin product, including how it can be integrated with different technologies—both Vonage and non-Vonage solutions. He has a thorough understanding of the rules and best practices required to ensure events are successfully created, configured, and executed</t>
  </si>
  <si>
    <t>C-Shubham Kumawat</t>
  </si>
  <si>
    <t>Consistently performs daily tasks efficiently, delivers what is required, and meets all work expectations.</t>
  </si>
  <si>
    <t>C-Prajjawal Saxena</t>
  </si>
  <si>
    <t>Major team asset -highly technical, thorough with testing, and proactive in his approach. He consistently thinks outside the box and effectively runs and supports AI services. He possesses strong grey-box and white-box testing skills, ensuring robust and reliable solutions.</t>
  </si>
  <si>
    <t>C-Aniruddh Dongariya</t>
  </si>
  <si>
    <t>He is an important key member with deep knowledge of the ON24 Admin product. His dedication and attention to detail have made him an expert in several areas of the admin domain.</t>
  </si>
  <si>
    <t>C-Shubham Chandra</t>
  </si>
  <si>
    <t>He has strong analytical skills, quickly identifying issues and inconsistencies. He has a keen eye for detail and consistently catches issues in the product under test.</t>
  </si>
  <si>
    <t>Sanjeev Gupta</t>
  </si>
  <si>
    <t>He leads the Admin tool with deep product knowledge, efficiently managing tasks while ensuring high-quality outcomes. By mentoring the team, streamlining processes, and anticipating potential issues,</t>
  </si>
  <si>
    <t>C-Divya Sharma</t>
  </si>
  <si>
    <t xml:space="preserve"> Efficiently  delivers what is required. She is  responsible for managing and maintaining admin automation, ensuring smooth and reliable operations.</t>
  </si>
  <si>
    <t>Jyothi Dasari</t>
  </si>
  <si>
    <t>QA Lead</t>
  </si>
  <si>
    <t>Another star member,  leads ES and ESRI with deep technical and functional knowledge. He has a thorough understanding of the product’s history and effectively manages the India team to ensure smooth operations and timely delivery.</t>
  </si>
  <si>
    <t>C-Rajkamal Karpenter</t>
  </si>
  <si>
    <t>Although new to the team, he quickly picked up work with confidence and a strong learning mindset. He has already started taking ownership of several test areas, demonstrating initiative and responsibility.</t>
  </si>
  <si>
    <t>C-Ashish Kaslikar</t>
  </si>
  <si>
    <t>He has a strong automation background and excels in black-box and grey-box testing, which enables him to identify critical issues effectively. He is a valuable and dependable member of the team.</t>
  </si>
  <si>
    <t>Date</t>
  </si>
  <si>
    <t>Update by</t>
  </si>
  <si>
    <t>Notes</t>
  </si>
  <si>
    <t>Contractors</t>
  </si>
  <si>
    <t>Total QA</t>
  </si>
  <si>
    <t>Dec 7th</t>
  </si>
  <si>
    <t>Kashan Babar</t>
  </si>
  <si>
    <t>Created XL</t>
  </si>
  <si>
    <t>Dec 8th</t>
  </si>
  <si>
    <t>Shefali</t>
  </si>
  <si>
    <t>Added teams</t>
  </si>
  <si>
    <t>Jenny</t>
  </si>
  <si>
    <t>Kashan</t>
  </si>
  <si>
    <t>Removed Oleg from QA count</t>
  </si>
  <si>
    <t>Managers</t>
  </si>
  <si>
    <t>FE/BE</t>
  </si>
  <si>
    <t>Department</t>
  </si>
  <si>
    <t>Mahesh Kheny</t>
  </si>
  <si>
    <t>Homer Santos</t>
  </si>
  <si>
    <t>yes</t>
  </si>
  <si>
    <t>Salesforce</t>
  </si>
  <si>
    <t>4 FTs</t>
  </si>
  <si>
    <t>James Gomez</t>
  </si>
  <si>
    <t>Raj Kommera</t>
  </si>
  <si>
    <t>Jaimini Joshi</t>
  </si>
  <si>
    <t>Shishir Pokharel</t>
  </si>
  <si>
    <t>Vids/forums</t>
  </si>
  <si>
    <t>6 FTs</t>
  </si>
  <si>
    <t>Angel Palomino Heras</t>
  </si>
  <si>
    <t>AI/Analytics/Integrations</t>
  </si>
  <si>
    <t>Alberto Perez Galiano</t>
  </si>
  <si>
    <t>Nataraja Prabhakara</t>
  </si>
  <si>
    <t>Pratap Kumar</t>
  </si>
  <si>
    <t>Cloud</t>
  </si>
  <si>
    <t>Francisco Neto</t>
  </si>
  <si>
    <t>Tools</t>
  </si>
  <si>
    <t>Venubabu Innamuri</t>
  </si>
  <si>
    <t>BE</t>
  </si>
  <si>
    <t>GL</t>
  </si>
  <si>
    <t>Alejandro Castera</t>
  </si>
  <si>
    <t>BE/FE</t>
  </si>
  <si>
    <t>Vids/ES</t>
  </si>
  <si>
    <t>* Owns client side pexip code and ESRI client side code (single point of failure). For POC projects.</t>
  </si>
  <si>
    <t xml:space="preserve">3 FTs
3 Contractors
</t>
  </si>
  <si>
    <t>Cobin Dopkeen</t>
  </si>
  <si>
    <t>Yes</t>
  </si>
  <si>
    <t>C-Lucas Girard</t>
  </si>
  <si>
    <t>Own sim2live video (single point of failure), video push and pexip components</t>
  </si>
  <si>
    <t>Randall Dryburgh</t>
  </si>
  <si>
    <t>Cheng-Kai Huang</t>
  </si>
  <si>
    <t>c-Alejo Pereyra</t>
  </si>
  <si>
    <t>Smart, but fairly new.
Gaining cross-knowledge to backup other devs.</t>
  </si>
  <si>
    <t>2 FTs
4 contractor</t>
  </si>
  <si>
    <t>Jose Viscasillas</t>
  </si>
  <si>
    <t>FE</t>
  </si>
  <si>
    <t>Dan Homerick</t>
  </si>
  <si>
    <t>C-Tasso Ruas</t>
  </si>
  <si>
    <t>Shows interest in leadership.
Takes ownership of initiatives.
Deep knowledge of archiving systems.</t>
  </si>
  <si>
    <t>c-Jesus Díaz</t>
  </si>
  <si>
    <t>Reliably gets all work done.
Owns chat front end (single point of failure, temporarily)
Always helpful and willing to take on more.</t>
  </si>
  <si>
    <t>Felipe Ferreira</t>
  </si>
  <si>
    <t>Vids/Forums (KMs)</t>
  </si>
  <si>
    <t>Owns Vibbio system (single point of failure until Vibbio tech sunset)
Creative problem solver.</t>
  </si>
  <si>
    <t>Alberto</t>
  </si>
  <si>
    <t>Mario Martinez</t>
  </si>
  <si>
    <t>* Institutional knowledge of the Analytics legacy platform and underlying infrastructure
* Primary owner and escalation point for release support</t>
  </si>
  <si>
    <t>5 Contractors</t>
  </si>
  <si>
    <t>c-Ramesh Balak</t>
  </si>
  <si>
    <t>* High execution velocity driven by effective use of AI-assisted development techniques</t>
  </si>
  <si>
    <t>C-Alejandro Varon</t>
  </si>
  <si>
    <t>* Strong technical depth and application domain expertise
* Designated backup for release support</t>
  </si>
  <si>
    <t>C-Juan Gomez</t>
  </si>
  <si>
    <t>* Valuable technical depth and application domain knowledge
* Rapid comprehension and execution of development tasks through AI-assisted techniques</t>
  </si>
  <si>
    <t>Pedro Hernandez</t>
  </si>
  <si>
    <t>* Deep expertise in the Segmentation application (key contributor and knowledge holder)
* Leads and executes complex development initiatives leveraging AI-assisted methodologies 
* Primary owner and escalation point for Segmentation release support</t>
  </si>
  <si>
    <t>Juan Bernardez Pazo</t>
  </si>
  <si>
    <t>2 FTs
3 contractor</t>
  </si>
  <si>
    <t>C-Gregory Padron</t>
  </si>
  <si>
    <t>* Good technical and application knowledge
* Backup to lead (Mayur) for release support</t>
  </si>
  <si>
    <t>4=Key</t>
  </si>
  <si>
    <t>C-Jonathan Perez</t>
  </si>
  <si>
    <t>* Resource who has knowledge on both Orion and VC. 
* Although limited VC knowledge but handy in case we need a resource to work</t>
  </si>
  <si>
    <t>2=solid</t>
  </si>
  <si>
    <t>Mayur Khadke</t>
  </si>
  <si>
    <t>Jhon Nova</t>
  </si>
  <si>
    <t>* Very good knowledge on Orion application
* So far the only back up resource for the FT (Juan)</t>
  </si>
  <si>
    <t>3=Important</t>
  </si>
  <si>
    <t>C-Camilo Lopez</t>
  </si>
  <si>
    <t>* Strong platform expertise with deep understanding of system architecture and dependencies
* Maintains and supports multiple in-house integrations
* Provides effective cross-team support and collaboration
* Manages SERVICE JIRA workflows efficiently and consistently</t>
  </si>
  <si>
    <t>2 FTs
8 Contractors</t>
  </si>
  <si>
    <t>C-Rajesh Patel</t>
  </si>
  <si>
    <t>C-Carlos Montoya</t>
  </si>
  <si>
    <t>* Leads Python-based AI implementations across projects
* Translates proof-of-concepts into production-ready solutions
* Applies best practices in code quality, scalability, and deployment
* Bridges experimentation and operational delivery effectively</t>
  </si>
  <si>
    <t>Parag Sanghvi</t>
  </si>
  <si>
    <t>AI/Integrations</t>
  </si>
  <si>
    <t>Alejandro Osorio</t>
  </si>
  <si>
    <t xml:space="preserve">* Demonstrates strong work ethic with thorough execution and attention to detail
* Continuously expands technical knowledge and adopts new technologies
* Maintains strong platform expertise and system-level understanding
</t>
  </si>
  <si>
    <t>C-Harsh Panot</t>
  </si>
  <si>
    <t>* Supports the ON24 Salesforce Native Connector
* Single point of failure for Salesforce Native Connector</t>
  </si>
  <si>
    <t>Javier Vargas</t>
  </si>
  <si>
    <t>* Demonstrates strong work ethic with thorough, detail-oriented execution
* Continuously develops technical expertise and adopts new technologies
* Maintains strong platform knowledge and architectural understanding
* Supervises team deliverables and provides structured, actionable feedback
* Owns and oversees ON24 API strategy, implementation, and maintenance</t>
  </si>
  <si>
    <t>C-Oscar Ospina</t>
  </si>
  <si>
    <t>* Strong working knowledge of LinkedIn integrations and Tray platform
* Demonstrates solid frontend development capabilities
* Applies integration expertise to support end-to-end solution delivery
* Possible point of failure for LinkedIn</t>
  </si>
  <si>
    <t>Jairo Diaz</t>
  </si>
  <si>
    <t>* Strong data science expertise with solid analytical and modeling capabilities
* Collaborative team player who actively supports cross-functional efforts
* Contributes innovative ideas and proactively drives new initiatives
* Point of failure for new AI based POCs initiatives</t>
  </si>
  <si>
    <t>Ben Kinard</t>
  </si>
  <si>
    <t>Abdulla Rubaid</t>
  </si>
  <si>
    <t>3 FTs
4 Contractors</t>
  </si>
  <si>
    <t>Praveen Gampala</t>
  </si>
  <si>
    <t>C-Marco Ruiz</t>
  </si>
  <si>
    <t xml:space="preserve">*Supports the Onperm microservices, releases, WL platform along with CI/CD and monitoring.
</t>
  </si>
  <si>
    <t>Lee Lopez</t>
  </si>
  <si>
    <t>*Primary resource for Load Testing</t>
  </si>
  <si>
    <t>Chengyang Liu</t>
  </si>
  <si>
    <t>c-Jean Cristancho</t>
  </si>
  <si>
    <t>*Key resource for GCP platform support
*Only backup for Chengyang</t>
  </si>
  <si>
    <t>C-Gopal Singh</t>
  </si>
  <si>
    <t>*Backup for Load Testing</t>
  </si>
  <si>
    <t>Ammar Khan</t>
  </si>
  <si>
    <t>Engg Tools</t>
  </si>
  <si>
    <t>2 FTs
1 Contractors</t>
  </si>
  <si>
    <t>c-Cesar Roque</t>
  </si>
  <si>
    <t>Engg Support</t>
  </si>
  <si>
    <t>* This team member is essential as he enables reliable 24/7 on-call coverage, ensuring continuity and fast incident response. 
* His deep specialization in streaming allows us to quickly diagnose and resolve high-impact issues. 
* In addition, his strong domain knowledge of the ON24 platform and Jira workflows makes him a key contributor to effective Platform Support operations.</t>
  </si>
  <si>
    <t>Purna Sangem</t>
  </si>
  <si>
    <t>Kamal</t>
  </si>
  <si>
    <t>Rajesh Walter</t>
  </si>
  <si>
    <t>EER</t>
  </si>
  <si>
    <t>3 FTs</t>
  </si>
  <si>
    <t>Mayank Gupta</t>
  </si>
  <si>
    <t>EER/GL</t>
  </si>
  <si>
    <t>Piyush Punjak</t>
  </si>
  <si>
    <t>Console/ES</t>
  </si>
  <si>
    <t>C-Rodrigo Laporte</t>
  </si>
  <si>
    <t>* Rodrigo provide support across multiple frontend features.
* His attention to detail and responsiveness to feedback help improve overall product quality. 
* He is a dependable contributor to sprint commitments.</t>
  </si>
  <si>
    <t>5 FTs
4 Contractors</t>
  </si>
  <si>
    <t>Avi Roig</t>
  </si>
  <si>
    <t>Shabna Shaik</t>
  </si>
  <si>
    <t>C-Jonathan Arcila</t>
  </si>
  <si>
    <t xml:space="preserve">* Jonathan is a key member of our backend team. 
* He contributes to architecture and have deep knowledge of our systems and integrations. 
* His ability to quickly troubleshoot production issues and design scalable solutions makes them a critical technical member of the team.
</t>
  </si>
  <si>
    <t>Himanshu Patel</t>
  </si>
  <si>
    <t>Luke Wage</t>
  </si>
  <si>
    <t>c-Javier Stifano</t>
  </si>
  <si>
    <t xml:space="preserve">* Javier plays a key role in front-end development, translating requirements into effective solutions. 
* His strong cross team collaboration ensures smooth end-to-end feature delivery.
* He often take initiative in improving frontend architecture and performance.
</t>
  </si>
  <si>
    <t>c-Islam Mohammed</t>
  </si>
  <si>
    <t>* Islam consistently deliver high-quality backend features and improvements while maintaining strong code standards. 
* He actively supports release activities
* He contributes significantly to sprint goals and help maintain system stability.</t>
  </si>
  <si>
    <t>Shuang Wu</t>
  </si>
  <si>
    <t>Kaleem Khan</t>
  </si>
  <si>
    <t>7 FTs
6 Contractors</t>
  </si>
  <si>
    <t>Nnouka Stephen</t>
  </si>
  <si>
    <t>ES/Forums</t>
  </si>
  <si>
    <t xml:space="preserve">1. Depth of expertise, ownership, and reliability to critical areas of our platform.
2. Strong command over complex systems and understands them end-to-end, a trusted resource for both strategic decisions and problem resolution. 
3. High level of accountability and commitment. Even across time zones, available when needed and prioritizes team success, reflecting a strong sense of ownership and collaboration.
4. Deep expertise, problem-solving mindset, adaptability, reliability, and team-first attitude makes him critical for the team.
 </t>
  </si>
  <si>
    <t>Ajay Pawar</t>
  </si>
  <si>
    <t>Pritish Kumar Dwibedi</t>
  </si>
  <si>
    <t>Rajesh Kumar</t>
  </si>
  <si>
    <t>Diego Gonzalez</t>
  </si>
  <si>
    <t>1. Consistently demonstrates strong ownership by proactively identifying and resolving issues.
2. Actively monitors team channels and quickly steps in to support blockers or urgent fixes.
3. Contributes positively to team momentum through reliability, responsiveness, and collaboration.
4. Steps up in critical moments and ensures dependable support when the team needs it most. Critical in terms of some of the platform functionalities.</t>
  </si>
  <si>
    <t>Jonathan Gil</t>
  </si>
  <si>
    <t>1. Strong end-to-end understanding of the platform, enabling well-informed decision-making, proactive identification of edge cases, and a confident, structured approach to complex challenges.
2. Serves as a trusted point of contact, providing stability and continuity; consistently ensures critical components are handled with precision and deep expertise.
3. Applies a thorough and disciplined review process that drives clarity, completeness, and high quality before execution—strengthening overall team output and minimizing risk.
4. Recognized SME for ESRI, bringing specialized knowledge and dependable guidance in this critical area. Single point of contact for ESRI.</t>
  </si>
  <si>
    <t>Shwetha Nimmala</t>
  </si>
  <si>
    <t>C-Santiago Mejia</t>
  </si>
  <si>
    <t>1.Delivers assigned tasks with solid technical quality and meets expectations reliably.
2.Contributes effectively and does not shy away from new challenges.
3.Follows established coding standards and contributes to maintaining overall frontend code quality.</t>
  </si>
  <si>
    <t>Jay Sunga</t>
  </si>
  <si>
    <t>Swati Shaw</t>
  </si>
  <si>
    <t>AppGen</t>
  </si>
  <si>
    <t>Amber Mahajan</t>
  </si>
  <si>
    <t>1. Deep knowledge base for the Audience Console with long-standing experience and consistently strong performance; a trusted SME for critical functionalities such as CE.
2. Provides dependable 24x7 development support, often going above and beyond during off-hours to ensure seamless issue resolution.
3. Played a significant role in modernization initiatives and is always available when needed, demonstrating exceptional dedication and ownership.</t>
  </si>
  <si>
    <t>?</t>
  </si>
  <si>
    <t>Juan David Aragon</t>
  </si>
  <si>
    <t>1. Go-to person for all Audience Console issues — highly dependable, accountable, and trusted to drive resolution end-to-end.
2. Consistently delivers high-quality, scalable solutions with strong ownership and execution discipline.
3. Demonstrates deep analytical skills, proactively takes on new challenges, and thoroughly investigates complex issues to ensure long-term fixes.
4. Played a key role in modernization initiatives and leads load testing efforts, while being a reliable and collaborative team player. One of the most critical team member in the company.</t>
  </si>
  <si>
    <t>Chandrakant Bagewadi</t>
  </si>
  <si>
    <t xml:space="preserve">1 FT
</t>
  </si>
  <si>
    <t xml:space="preserve">Created and added Few teams
removed/added = 0
</t>
  </si>
  <si>
    <t xml:space="preserve">Dec8th </t>
  </si>
  <si>
    <t>Issh</t>
  </si>
  <si>
    <t>updated teams</t>
  </si>
  <si>
    <t xml:space="preserve">Bhagyashree </t>
  </si>
  <si>
    <t>Dec 16tg</t>
  </si>
  <si>
    <t>updated Lee Lopez from FT to Cont</t>
  </si>
  <si>
    <t>Feb 18th</t>
  </si>
  <si>
    <t>Shree</t>
  </si>
  <si>
    <t>Highlighted Inactive Dev contractors</t>
  </si>
  <si>
    <t xml:space="preserve">Feb18th </t>
  </si>
  <si>
    <t>Checked all devs in ES/Console/Forums/Vids</t>
  </si>
  <si>
    <t>Checked all dev members for GL and Integrations. Removed 4 deactivated Devs</t>
  </si>
  <si>
    <t>KB/Issh</t>
  </si>
  <si>
    <t>Total Dev FT</t>
  </si>
  <si>
    <t>Total Dev Contractors</t>
  </si>
  <si>
    <t>Total QA FT</t>
  </si>
  <si>
    <t>Total QA Contractors</t>
  </si>
  <si>
    <t>Employee Name</t>
  </si>
  <si>
    <t>Jayesh Sahasi</t>
  </si>
  <si>
    <t>Sharat Saran</t>
  </si>
  <si>
    <t>Executive VP, Products and CTO</t>
  </si>
  <si>
    <t>Engineering Admin</t>
  </si>
  <si>
    <t>Leadership</t>
  </si>
  <si>
    <t>Jayesh</t>
  </si>
  <si>
    <t>SVP, Platform Engineering</t>
  </si>
  <si>
    <t>Kamal Ghosh</t>
  </si>
  <si>
    <t>Vice President Engineering</t>
  </si>
  <si>
    <t>Webcasting Development</t>
  </si>
  <si>
    <t>Vice President QA Engineering</t>
  </si>
  <si>
    <t>Platform QA</t>
  </si>
  <si>
    <t>Senior Vice President, Engineering</t>
  </si>
  <si>
    <t>SVP, Product Management</t>
  </si>
  <si>
    <t>Platform Product Management</t>
  </si>
  <si>
    <t>Jagjit Singh</t>
  </si>
  <si>
    <t>Director, Program Management</t>
  </si>
  <si>
    <t>Technical Program Management</t>
  </si>
  <si>
    <t xml:space="preserve">
Developer</t>
  </si>
  <si>
    <t>Director, Video Engineering</t>
  </si>
  <si>
    <t>Platform Development</t>
  </si>
  <si>
    <t>Contrator (Software Engineer)</t>
  </si>
  <si>
    <t>Engineering Manager, Audi/Video</t>
  </si>
  <si>
    <t>Sr. FrontEnd Engineer, Video Services</t>
  </si>
  <si>
    <t>Sr. Software Engineer, Audio/Video</t>
  </si>
  <si>
    <t>Lead Software Engineer, Video</t>
  </si>
  <si>
    <t>Sr. Software Engineer, Media Streaming</t>
  </si>
  <si>
    <t>Director of Engineering</t>
  </si>
  <si>
    <t>Lead Software Engineer (Integrations)</t>
  </si>
  <si>
    <t>Senior Data Scientist</t>
  </si>
  <si>
    <t>Senior Engineering Manager</t>
  </si>
  <si>
    <t>Lighthouse Development</t>
  </si>
  <si>
    <t>Contractor - Developer</t>
  </si>
  <si>
    <t>Contractor (Fullstack Engineer)</t>
  </si>
  <si>
    <t>Contractor Engineering</t>
  </si>
  <si>
    <t>Director, Engineering</t>
  </si>
  <si>
    <t>Lead Engineer</t>
  </si>
  <si>
    <t>Gateway Development</t>
  </si>
  <si>
    <t>Contractor - Orion Backend Developer</t>
  </si>
  <si>
    <t>Lead Software Engineer</t>
  </si>
  <si>
    <t>Contractor - Front-end dev</t>
  </si>
  <si>
    <t>Sr Director, Cloud Engineering</t>
  </si>
  <si>
    <t>Cloud Engineering</t>
  </si>
  <si>
    <t>Sr. Google Cloud Engineer</t>
  </si>
  <si>
    <t>Manager, DevOps</t>
  </si>
  <si>
    <t>Performance Test Engineer (Contractor)</t>
  </si>
  <si>
    <t>Team Lead, Cloud Engineering</t>
  </si>
  <si>
    <t>Manager, Engineering Support</t>
  </si>
  <si>
    <t>Engineering Support COGS</t>
  </si>
  <si>
    <t>Senior Full Stack Engineer</t>
  </si>
  <si>
    <t>Contractor - Support Engineer</t>
  </si>
  <si>
    <t>Senior Java/SQL Support Engineer</t>
  </si>
  <si>
    <t>Senior Manager Software Engineering</t>
  </si>
  <si>
    <t>Engineering Manager</t>
  </si>
  <si>
    <t>Contractor - Software Engineer</t>
  </si>
  <si>
    <t>Virtual Development</t>
  </si>
  <si>
    <t>Senior Software Engineer</t>
  </si>
  <si>
    <t>Contractor - Senior Java Engineer</t>
  </si>
  <si>
    <t>Lead Front End Engineer</t>
  </si>
  <si>
    <t>Senior Software Engineer, Back End</t>
  </si>
  <si>
    <t>Lead Engineer, Backend</t>
  </si>
  <si>
    <t>Contractor/ Front-End Engineer</t>
  </si>
  <si>
    <t>Software Engineer, Front-End</t>
  </si>
  <si>
    <t>Senior Software Engineer, Front End</t>
  </si>
  <si>
    <t>Contractor/Front-End Engineer</t>
  </si>
  <si>
    <t>Contractor - Front End Developer</t>
  </si>
  <si>
    <t>Works remotely from India</t>
  </si>
  <si>
    <t>Q A</t>
  </si>
  <si>
    <t>Contractor - Director, QA</t>
  </si>
  <si>
    <t>Contractor - Lead QA Automation</t>
  </si>
  <si>
    <t>Contractor - QA Automation Eng.</t>
  </si>
  <si>
    <t>Elite QA</t>
  </si>
  <si>
    <t>Contractor – QA  Manger Engineer</t>
  </si>
  <si>
    <t>Gateway QA</t>
  </si>
  <si>
    <t>Virtual QA</t>
  </si>
  <si>
    <t>Lighthouse QA</t>
  </si>
  <si>
    <t>Mahesh Kennhy</t>
  </si>
  <si>
    <t>Engineering Manager, Salesforce</t>
  </si>
  <si>
    <t>SFDC</t>
  </si>
  <si>
    <t>Senior SalesForce Administrator</t>
  </si>
  <si>
    <t>Senior Salesforce Developer</t>
  </si>
  <si>
    <t>Product</t>
  </si>
  <si>
    <t>Senior Director Product Management</t>
  </si>
  <si>
    <t>Elite Product Management</t>
  </si>
  <si>
    <t>Director Product Management</t>
  </si>
  <si>
    <t>Senior Director, UI/UX</t>
  </si>
  <si>
    <t>Platform Design</t>
  </si>
  <si>
    <t>Director, Product Management</t>
  </si>
  <si>
    <t>Gateway Product Management</t>
  </si>
  <si>
    <t>Michale Lin</t>
  </si>
  <si>
    <t>Sr UX Designer</t>
  </si>
  <si>
    <t>Elite Design</t>
  </si>
  <si>
    <t>UX Designer</t>
  </si>
  <si>
    <t>Lighthouse Design</t>
  </si>
  <si>
    <t>Contractor - UX</t>
  </si>
  <si>
    <t>TPM</t>
  </si>
  <si>
    <t>SCRUM Master</t>
  </si>
  <si>
    <t>Ishwinder Wallia</t>
  </si>
  <si>
    <t>Bhagyashree More</t>
  </si>
  <si>
    <t>Contractor (SCRUM Master)</t>
  </si>
  <si>
    <t>Ishwinder Walia</t>
  </si>
  <si>
    <t>C-Bhagyashree More</t>
  </si>
  <si>
    <t>Holds deep institutional knowledge of ON24’s unique workflows, ensuring stability.
Her specialized oversight and real-time US-Pacific support from India are non-redundant
Manages 30% of the org’s Scrum teams (3/10) plus auxiliary PM tasks, maintaining delivery speeds, exceed industry standards.</t>
  </si>
  <si>
    <t>Total FTs</t>
  </si>
  <si>
    <t>Total Contractors</t>
  </si>
  <si>
    <t>QA</t>
  </si>
  <si>
    <t>QA Automation</t>
  </si>
  <si>
    <t>Dev</t>
  </si>
  <si>
    <t>Prod/UI</t>
  </si>
  <si>
    <t>Excluded: Jaimini, Kamal, Mahesh, Steve</t>
  </si>
  <si>
    <t>VP</t>
  </si>
  <si>
    <t>Full-Time (FT)</t>
  </si>
  <si>
    <t>Contractors (Cont)</t>
  </si>
  <si>
    <t>JJ</t>
  </si>
  <si>
    <t>Mahesh</t>
  </si>
  <si>
    <t>Oleg</t>
  </si>
  <si>
    <t>C-Rahul Gupta</t>
  </si>
  <si>
    <t>Deactivated 1/31/26</t>
  </si>
  <si>
    <t>Deactivated Dev</t>
  </si>
  <si>
    <t>c-Mateo Velez</t>
  </si>
  <si>
    <t>C-Juan Casas</t>
  </si>
  <si>
    <t>C-Dennis Martins</t>
  </si>
  <si>
    <t>C-Tejiri Matthew</t>
  </si>
  <si>
    <t>SCRUM Team Count</t>
  </si>
  <si>
    <t>Developer</t>
  </si>
  <si>
    <t>Share Resources</t>
  </si>
  <si>
    <t>Comment</t>
  </si>
  <si>
    <t>FTE</t>
  </si>
  <si>
    <t xml:space="preserve">FTE </t>
  </si>
  <si>
    <t>VC (Dev/QA)</t>
  </si>
  <si>
    <t>Shared resources between GL and VC)</t>
  </si>
  <si>
    <t>Engagement Hub</t>
  </si>
  <si>
    <t>Shared resoruces between (Ehub, VC)</t>
  </si>
  <si>
    <t>Video Team</t>
  </si>
  <si>
    <t>Forums/Console (Dev/QA)</t>
  </si>
  <si>
    <t>Shared resources between (Console+Vids+Forums for both Dev/QA)</t>
  </si>
  <si>
    <t>None</t>
  </si>
  <si>
    <t>Forums (Dev/QA)</t>
  </si>
  <si>
    <t>No shared resources</t>
  </si>
  <si>
    <t>AI (Dev)</t>
  </si>
  <si>
    <t>Dev resources shared between Integration and AI</t>
  </si>
  <si>
    <t>AI (QA) - Forums (Dev/QA)</t>
  </si>
  <si>
    <t>QA shared resources</t>
  </si>
  <si>
    <t>Shared Resources between (ES and Forums)</t>
  </si>
  <si>
    <t>Shared resources between (AI, Integration)</t>
  </si>
  <si>
    <t>Scrum Team Total</t>
  </si>
  <si>
    <t>Other Team Count</t>
  </si>
  <si>
    <t>Comments</t>
  </si>
  <si>
    <t>Scrum Teams</t>
  </si>
  <si>
    <t>Cloud Engg/DevOps</t>
  </si>
  <si>
    <t>Not part of a scrum team</t>
  </si>
  <si>
    <t>Engineering Support</t>
  </si>
  <si>
    <t>Design (UI/UX)</t>
  </si>
  <si>
    <t>Program Management</t>
  </si>
  <si>
    <t>Product Management</t>
  </si>
  <si>
    <t>Engineering Exec Admin</t>
  </si>
  <si>
    <t>Overall Total</t>
  </si>
  <si>
    <t>INT</t>
  </si>
  <si>
    <t>Forum</t>
  </si>
  <si>
    <t>VIDS</t>
  </si>
  <si>
    <t>Mayank</t>
  </si>
  <si>
    <t>Angel</t>
  </si>
  <si>
    <t>Natraja</t>
  </si>
  <si>
    <t>Dev Contractors</t>
  </si>
  <si>
    <t>QA Contractors</t>
  </si>
  <si>
    <t>TPM Data</t>
  </si>
  <si>
    <t>AI/Vids/Platform</t>
  </si>
  <si>
    <t>Leads</t>
  </si>
  <si>
    <t>mangers</t>
  </si>
  <si>
    <t>Count of Employment</t>
  </si>
  <si>
    <t>Grand Total</t>
  </si>
  <si>
    <t>Reports to Jayesh</t>
  </si>
  <si>
    <t>Jaimini</t>
  </si>
  <si>
    <t>Reports to Jaimini</t>
  </si>
  <si>
    <t>Reports to Shishir</t>
  </si>
  <si>
    <t>Reports to Cobin</t>
  </si>
  <si>
    <t>How Your Excel Sheet Should Be Structured</t>
  </si>
  <si>
    <t>Arrange your sheet like this (very important: one person per row, no blank manager cells except the top leader):</t>
  </si>
  <si>
    <t>Function (FE/BE)</t>
  </si>
  <si>
    <t>(leave blank)</t>
  </si>
  <si>
    <t>(who does Jaimini report to?)</t>
  </si>
  <si>
    <t>Reports to Angel</t>
  </si>
  <si>
    <t>Reports to Alberto</t>
  </si>
  <si>
    <t>Reports to Nataraja</t>
  </si>
  <si>
    <t>Reports to Pratap</t>
  </si>
  <si>
    <t>Reports to Francisco</t>
  </si>
  <si>
    <t>N/A</t>
  </si>
  <si>
    <t>Reports to Kamal</t>
  </si>
  <si>
    <t>Reports to Mayank</t>
  </si>
  <si>
    <t>Reports to Piyush</t>
  </si>
  <si>
    <t>Reports to Mahesh</t>
  </si>
  <si>
    <t>Reports to Homer</t>
  </si>
  <si>
    <t>Reports to Oleg</t>
  </si>
  <si>
    <t>Rumana</t>
  </si>
  <si>
    <t>Reports to Rumana</t>
  </si>
  <si>
    <t>(Top Level)</t>
  </si>
  <si>
    <t>Senior VP</t>
  </si>
  <si>
    <t>SVP Platform Engineering</t>
  </si>
  <si>
    <t>Mahesh Khenny</t>
  </si>
  <si>
    <t>Senior VP Engineering</t>
  </si>
  <si>
    <t>Angel's Team</t>
  </si>
  <si>
    <t>Management</t>
  </si>
  <si>
    <t>Alberto's Team</t>
  </si>
  <si>
    <t>Nataraja's Team</t>
  </si>
  <si>
    <t>Pratap's Team</t>
  </si>
  <si>
    <t>Francisco's Team</t>
  </si>
  <si>
    <t>Kamal's Direct</t>
  </si>
  <si>
    <t>Mayank's Team</t>
  </si>
  <si>
    <t>Piyush's Team</t>
  </si>
  <si>
    <t>Rumana's Team</t>
  </si>
  <si>
    <t>Oleg's Direct</t>
  </si>
  <si>
    <t>---</t>
  </si>
  <si>
    <t>Mahesh's Team</t>
  </si>
  <si>
    <t>Homer's Team</t>
  </si>
  <si>
    <t>Appgen</t>
  </si>
  <si>
    <t>Our</t>
  </si>
  <si>
    <t>Dev Lead</t>
  </si>
  <si>
    <t>Himanshu</t>
  </si>
  <si>
    <t>Cobin</t>
  </si>
  <si>
    <t>Swati</t>
  </si>
  <si>
    <t>Piyush</t>
  </si>
  <si>
    <t>Shishir</t>
  </si>
  <si>
    <t>Helly</t>
  </si>
  <si>
    <t>Abel</t>
  </si>
  <si>
    <t>Pavel</t>
  </si>
  <si>
    <t>Lilia</t>
  </si>
  <si>
    <t>Olga</t>
  </si>
  <si>
    <t>Preeti</t>
  </si>
  <si>
    <t>Fong</t>
  </si>
  <si>
    <t>Marina</t>
  </si>
  <si>
    <t>Paul</t>
  </si>
  <si>
    <t>Jyothi</t>
  </si>
  <si>
    <t>Rohit</t>
  </si>
  <si>
    <t>Updated by Shefali</t>
  </si>
  <si>
    <t>Akshay Patidar</t>
  </si>
  <si>
    <t>Aniruddh Dongariya</t>
  </si>
  <si>
    <t>Bhagwan Soni</t>
  </si>
  <si>
    <t>Divya Sharma</t>
  </si>
  <si>
    <t>Gourav Shukla</t>
  </si>
  <si>
    <t>Gurmeet singh</t>
  </si>
  <si>
    <t>Gurmeet Singh Bhatia</t>
  </si>
  <si>
    <t>Harsh Parashar</t>
  </si>
  <si>
    <t>Mahima Malviya</t>
  </si>
  <si>
    <t>Mahire Bhushan Soma</t>
  </si>
  <si>
    <t>Mayank Bharatlal Khede</t>
  </si>
  <si>
    <t>Pooja Thakur</t>
  </si>
  <si>
    <t>Prajjawal Saxena</t>
  </si>
  <si>
    <t>Prerna Sharma</t>
  </si>
  <si>
    <t>Priya Chouhan</t>
  </si>
  <si>
    <t>Ravi Kumar Singh</t>
  </si>
  <si>
    <t>Rishabh Joshi</t>
  </si>
  <si>
    <t>Rishi Shrivastava</t>
  </si>
  <si>
    <t>Roma Jain</t>
  </si>
  <si>
    <t>Shobhit Shrivastava</t>
  </si>
  <si>
    <t>Shreya Raghuwanshi</t>
  </si>
  <si>
    <t>Tarun Sakalley</t>
  </si>
  <si>
    <t>Akshay Mandloi</t>
  </si>
  <si>
    <t>Ashish Kaslikar</t>
  </si>
  <si>
    <t>Kanika Dixit</t>
  </si>
  <si>
    <t>Kushal Saitwal</t>
  </si>
  <si>
    <t>Neeti Sharma</t>
  </si>
  <si>
    <t>Nikhil Sharma</t>
  </si>
  <si>
    <t>QA lead</t>
  </si>
  <si>
    <t>Rahul Sharma</t>
  </si>
  <si>
    <t>Rajkamal Karpenter</t>
  </si>
  <si>
    <t>Shruti Joshi</t>
  </si>
  <si>
    <t>Shubham Chandra</t>
  </si>
  <si>
    <t>Shubham Kumawat</t>
  </si>
  <si>
    <t>Sumit Verma</t>
  </si>
  <si>
    <t>P10Console/ Forums/Vibbio</t>
  </si>
  <si>
    <t xml:space="preserve">P10Console </t>
  </si>
  <si>
    <t>P10Console Forums/Vibbio</t>
  </si>
  <si>
    <t>Alumelu</t>
  </si>
  <si>
    <t>Nurlan</t>
  </si>
  <si>
    <t>Vimala</t>
  </si>
  <si>
    <t>Manjeet</t>
  </si>
  <si>
    <t>Prakash</t>
  </si>
  <si>
    <t>Ashish</t>
  </si>
  <si>
    <t>Sanjeev</t>
  </si>
  <si>
    <t>Anirudh</t>
  </si>
  <si>
    <t>Manjeet singh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</si>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</sst>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
      <sz val="24"/>
      <color theme="1"/>
      <name val="Calibri"/>
      <family val="2"/>
      <scheme val="minor"/>
    </font>
    <font>
      <b/>
      <sz val="12"/>
      <color theme="1"/>
      <name val="Calibri"/>
      <family val="2"/>
      <scheme val="minor"/>
    </font>
    <font>
      <sz val="18"/>
      <color theme="1"/>
      <name val="Calibri"/>
      <family val="2"/>
      <scheme val="minor"/>
    </font>
    <font>
      <strike/>
      <sz val="16"/>
      <color theme="1"/>
      <name val="Calibri"/>
      <family val="2"/>
      <scheme val="minor"/>
    </font>
    <font>
      <strike/>
      <sz val="16"/>
      <color rgb="FF000000"/>
      <name val="Calibri"/>
      <family val="2"/>
      <scheme val="minor"/>
    </font>
    <font>
      <sz val="16"/>
      <color rgb="FF000000"/>
      <name val="Calibri"/>
      <family val="2"/>
      <scheme val="minor"/>
    </font>
    <font>
      <sz val="14"/>
      <color theme="1"/>
      <name val="Calibri"/>
      <family val="2"/>
      <scheme val="minor"/>
    </font>
    <font>
      <b/>
      <sz val="14"/>
      <color theme="1"/>
      <name val="Calibri"/>
      <family val="2"/>
      <scheme val="minor"/>
    </font>
    <font>
      <b/>
      <sz val="20"/>
      <color theme="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
      <b/>
      <sz val="18"/>
      <color theme="1"/>
      <name val="Calibri"/>
      <family val="2"/>
      <scheme val="minor"/>
    </font>
    <font>
      <i/>
      <sz val="11"/>
      <color theme="1"/>
      <name val="Calibri"/>
      <family val="2"/>
      <scheme val="minor"/>
    </font>
    <font>
      <sz val="10"/>
      <color theme="1"/>
      <name val="Arial"/>
      <charset val="1"/>
    </font>
    <font>
      <b/>
      <sz val="10"/>
      <color theme="1"/>
      <name val="Arial"/>
      <charset val="1"/>
    </font>
    <font>
      <sz val="9"/>
      <color theme="1"/>
      <name val="Segoe UI"/>
      <charset val="1"/>
    </font>
    <font>
      <sz val="10"/>
      <color theme="1"/>
      <name val="Arial"/>
      <family val="2"/>
    </font>
    <font>
      <b/>
      <sz val="11"/>
      <color rgb="FF000000"/>
      <name val="Calibri"/>
      <family val="2"/>
      <scheme val="minor"/>
    </font>
    <font>
      <sz val="10"/>
      <color rgb="FF000000"/>
      <name val="Calibri"/>
      <charset val="1"/>
    </font>
    <font>
      <sz val="11"/>
      <color rgb="FF000000"/>
      <name val="Calibri"/>
      <charset val="1"/>
    </font>
  </fonts>
  <fills count="2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3"/>
        <bgColor indexed="64"/>
      </patternFill>
    </fill>
    <fill>
      <patternFill patternType="solid">
        <fgColor theme="5"/>
        <bgColor indexed="64"/>
      </patternFill>
    </fill>
    <fill>
      <patternFill patternType="solid">
        <fgColor theme="8" tint="0.59999389629810485"/>
        <bgColor indexed="64"/>
      </patternFill>
    </fill>
    <fill>
      <patternFill patternType="solid">
        <fgColor rgb="FFEBF1DE"/>
        <bgColor indexed="64"/>
      </patternFill>
    </fill>
    <fill>
      <patternFill patternType="solid">
        <fgColor rgb="FFCCC0DA"/>
        <bgColor indexed="64"/>
      </patternFill>
    </fill>
    <fill>
      <patternFill patternType="solid">
        <fgColor rgb="FFDDD9C4"/>
        <bgColor indexed="64"/>
      </patternFill>
    </fill>
    <fill>
      <patternFill patternType="solid">
        <fgColor theme="4" tint="-0.249977111117893"/>
        <bgColor indexed="64"/>
      </patternFill>
    </fill>
    <fill>
      <patternFill patternType="solid">
        <fgColor rgb="FFFFC000"/>
        <bgColor indexed="64"/>
      </patternFill>
    </fill>
    <fill>
      <patternFill patternType="solid">
        <fgColor theme="6"/>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4.9989318521683403E-2"/>
        <bgColor indexed="64"/>
      </patternFill>
    </fill>
  </fills>
  <borders count="64">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rgb="FF000000"/>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indexed="64"/>
      </left>
      <right/>
      <top style="medium">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right style="thin">
        <color rgb="FF9A9A9A"/>
      </right>
      <top style="thin">
        <color rgb="FF9A9A9A"/>
      </top>
      <bottom style="thin">
        <color rgb="FF9A9A9A"/>
      </bottom>
      <diagonal/>
    </border>
    <border>
      <left style="thin">
        <color indexed="64"/>
      </left>
      <right/>
      <top style="thin">
        <color indexed="64"/>
      </top>
      <bottom style="medium">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indexed="64"/>
      </bottom>
      <diagonal/>
    </border>
    <border>
      <left/>
      <right style="thin">
        <color indexed="64"/>
      </right>
      <top/>
      <bottom/>
      <diagonal/>
    </border>
    <border>
      <left style="thin">
        <color rgb="FF000000"/>
      </left>
      <right style="thin">
        <color rgb="FF000000"/>
      </right>
      <top/>
      <bottom/>
      <diagonal/>
    </border>
    <border>
      <left/>
      <right/>
      <top/>
      <bottom style="thin">
        <color rgb="FF000000"/>
      </bottom>
      <diagonal/>
    </border>
    <border>
      <left style="thin">
        <color indexed="64"/>
      </left>
      <right/>
      <top/>
      <bottom/>
      <diagonal/>
    </border>
    <border>
      <left/>
      <right style="thin">
        <color indexed="64"/>
      </right>
      <top/>
      <bottom style="thin">
        <color indexed="64"/>
      </bottom>
      <diagonal/>
    </border>
    <border>
      <left style="thin">
        <color rgb="FF000000"/>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auto="1"/>
      </left>
      <right style="thin">
        <color rgb="FF000000"/>
      </right>
      <top style="thin">
        <color auto="1"/>
      </top>
      <bottom style="thin">
        <color auto="1"/>
      </bottom>
      <diagonal/>
    </border>
    <border>
      <left style="thin">
        <color rgb="FF000000"/>
      </left>
      <right style="thin">
        <color rgb="FFCCCCCC"/>
      </right>
      <top style="thin">
        <color rgb="FFCCCCCC"/>
      </top>
      <bottom style="thin">
        <color rgb="FF000000"/>
      </bottom>
      <diagonal/>
    </border>
    <border>
      <left/>
      <right style="thin">
        <color rgb="FF000000"/>
      </right>
      <top/>
      <bottom style="thin">
        <color rgb="FF000000"/>
      </bottom>
      <diagonal/>
    </border>
    <border>
      <left style="thin">
        <color rgb="FFCCCCCC"/>
      </left>
      <right style="thin">
        <color rgb="FFCCCCCC"/>
      </right>
      <top style="thin">
        <color rgb="FF000000"/>
      </top>
      <bottom style="thin">
        <color rgb="FFCCCCCC"/>
      </bottom>
      <diagonal/>
    </border>
    <border>
      <left style="thin">
        <color auto="1"/>
      </left>
      <right style="thin">
        <color rgb="FF000000"/>
      </right>
      <top style="thin">
        <color rgb="FF000000"/>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rgb="FF000000"/>
      </top>
      <bottom/>
      <diagonal/>
    </border>
    <border>
      <left/>
      <right style="thin">
        <color theme="0" tint="-0.249977111117893"/>
      </right>
      <top/>
      <bottom/>
      <diagonal/>
    </border>
    <border>
      <left/>
      <right style="thin">
        <color theme="0" tint="-0.249977111117893"/>
      </right>
      <top/>
      <bottom style="thin">
        <color rgb="FF000000"/>
      </bottom>
      <diagonal/>
    </border>
  </borders>
  <cellStyleXfs count="1">
    <xf numFmtId="0" fontId="0" fillId="0" borderId="0"/>
  </cellStyleXfs>
  <cellXfs count="433">
    <xf numFmtId="0" fontId="0" fillId="0" borderId="0" xfId="0"/>
    <xf numFmtId="0" fontId="3" fillId="0" borderId="0" xfId="0" applyFont="1" applyAlignment="1">
      <alignment horizontal="center"/>
    </xf>
    <xf numFmtId="0" fontId="2" fillId="0" borderId="0" xfId="0" applyFont="1" applyAlignment="1">
      <alignment horizontal="center"/>
    </xf>
    <xf numFmtId="0" fontId="2" fillId="2" borderId="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0" xfId="0" applyFont="1" applyAlignment="1">
      <alignment horizontal="center" vertical="center"/>
    </xf>
    <xf numFmtId="0" fontId="3" fillId="5" borderId="11" xfId="0" applyFont="1" applyFill="1" applyBorder="1" applyAlignment="1">
      <alignment horizontal="center"/>
    </xf>
    <xf numFmtId="0" fontId="3" fillId="5" borderId="8" xfId="0" applyFont="1" applyFill="1" applyBorder="1" applyAlignment="1">
      <alignment horizontal="center"/>
    </xf>
    <xf numFmtId="0" fontId="3" fillId="5" borderId="12" xfId="0" applyFont="1" applyFill="1" applyBorder="1" applyAlignment="1">
      <alignment horizontal="center"/>
    </xf>
    <xf numFmtId="0" fontId="3" fillId="6" borderId="4" xfId="0" applyFont="1" applyFill="1" applyBorder="1" applyAlignment="1">
      <alignment horizontal="center"/>
    </xf>
    <xf numFmtId="0" fontId="2" fillId="2" borderId="0" xfId="0" applyFont="1" applyFill="1" applyAlignment="1">
      <alignment horizontal="center" vertical="center"/>
    </xf>
    <xf numFmtId="0" fontId="3" fillId="4" borderId="11" xfId="0" applyFont="1" applyFill="1" applyBorder="1" applyAlignment="1">
      <alignment horizontal="center"/>
    </xf>
    <xf numFmtId="0" fontId="3" fillId="9"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0" borderId="13" xfId="0" applyFont="1" applyBorder="1" applyAlignment="1">
      <alignment horizontal="center" vertical="center"/>
    </xf>
    <xf numFmtId="0" fontId="3" fillId="13" borderId="13" xfId="0" applyFont="1" applyFill="1" applyBorder="1" applyAlignment="1">
      <alignment horizontal="center" vertical="center"/>
    </xf>
    <xf numFmtId="0" fontId="2" fillId="2" borderId="14" xfId="0" applyFont="1" applyFill="1" applyBorder="1" applyAlignment="1">
      <alignment horizontal="center" vertical="center"/>
    </xf>
    <xf numFmtId="0" fontId="4" fillId="0" borderId="0" xfId="0" applyFont="1"/>
    <xf numFmtId="0" fontId="4" fillId="2" borderId="0" xfId="0" applyFont="1" applyFill="1" applyAlignment="1">
      <alignment horizontal="center" vertical="center"/>
    </xf>
    <xf numFmtId="0" fontId="4" fillId="14" borderId="0" xfId="0" applyFont="1" applyFill="1" applyAlignment="1">
      <alignment horizontal="center" vertical="center"/>
    </xf>
    <xf numFmtId="0" fontId="4" fillId="14" borderId="0" xfId="0" applyFont="1" applyFill="1" applyAlignment="1">
      <alignment horizontal="center" vertical="center" wrapText="1"/>
    </xf>
    <xf numFmtId="0" fontId="4" fillId="15" borderId="0" xfId="0" applyFont="1" applyFill="1" applyAlignment="1">
      <alignment horizontal="center" vertical="center"/>
    </xf>
    <xf numFmtId="0" fontId="4" fillId="9" borderId="0" xfId="0" applyFont="1" applyFill="1" applyAlignment="1">
      <alignment horizontal="center" vertical="center"/>
    </xf>
    <xf numFmtId="0" fontId="4" fillId="9" borderId="0" xfId="0" applyFont="1" applyFill="1" applyAlignment="1">
      <alignment horizontal="center" vertical="center" wrapText="1"/>
    </xf>
    <xf numFmtId="0" fontId="7" fillId="0" borderId="0" xfId="0" applyFont="1"/>
    <xf numFmtId="0" fontId="3" fillId="2" borderId="0" xfId="0" applyFont="1" applyFill="1" applyAlignment="1">
      <alignment horizontal="center" vertical="center"/>
    </xf>
    <xf numFmtId="0" fontId="3" fillId="4" borderId="0" xfId="0" applyFont="1" applyFill="1" applyAlignment="1">
      <alignment horizontal="center"/>
    </xf>
    <xf numFmtId="0" fontId="3" fillId="4" borderId="20" xfId="0" applyFont="1" applyFill="1" applyBorder="1" applyAlignment="1">
      <alignment horizontal="center"/>
    </xf>
    <xf numFmtId="0" fontId="3" fillId="5" borderId="19" xfId="0" applyFont="1" applyFill="1" applyBorder="1" applyAlignment="1">
      <alignment horizontal="center"/>
    </xf>
    <xf numFmtId="0" fontId="3" fillId="5" borderId="0" xfId="0" applyFont="1" applyFill="1" applyAlignment="1">
      <alignment horizontal="center"/>
    </xf>
    <xf numFmtId="0" fontId="3" fillId="5" borderId="20" xfId="0" applyFont="1" applyFill="1" applyBorder="1" applyAlignment="1">
      <alignment horizontal="center"/>
    </xf>
    <xf numFmtId="0" fontId="3" fillId="6" borderId="0" xfId="0" applyFont="1" applyFill="1" applyAlignment="1">
      <alignment horizontal="center"/>
    </xf>
    <xf numFmtId="0" fontId="3" fillId="6" borderId="20" xfId="0" applyFont="1" applyFill="1" applyBorder="1" applyAlignment="1">
      <alignment horizontal="center"/>
    </xf>
    <xf numFmtId="0" fontId="3" fillId="7" borderId="19" xfId="0" applyFont="1" applyFill="1" applyBorder="1" applyAlignment="1">
      <alignment horizontal="center"/>
    </xf>
    <xf numFmtId="0" fontId="3" fillId="7" borderId="0" xfId="0" applyFont="1" applyFill="1" applyAlignment="1">
      <alignment horizontal="center"/>
    </xf>
    <xf numFmtId="0" fontId="3" fillId="7" borderId="20" xfId="0" applyFont="1" applyFill="1" applyBorder="1" applyAlignment="1">
      <alignment horizontal="center"/>
    </xf>
    <xf numFmtId="0" fontId="3" fillId="4" borderId="13" xfId="0" applyFont="1" applyFill="1" applyBorder="1" applyAlignment="1">
      <alignment horizontal="center"/>
    </xf>
    <xf numFmtId="0" fontId="3" fillId="5" borderId="0" xfId="0" applyFont="1" applyFill="1" applyAlignment="1">
      <alignment horizontal="center" wrapText="1"/>
    </xf>
    <xf numFmtId="0" fontId="3" fillId="4" borderId="20" xfId="0" applyFont="1" applyFill="1" applyBorder="1" applyAlignment="1">
      <alignment horizontal="center" vertical="center"/>
    </xf>
    <xf numFmtId="0" fontId="2" fillId="0" borderId="0" xfId="0" applyFont="1" applyAlignment="1">
      <alignment horizontal="left"/>
    </xf>
    <xf numFmtId="0" fontId="3" fillId="0" borderId="0" xfId="0" applyFont="1" applyAlignment="1">
      <alignment horizontal="left"/>
    </xf>
    <xf numFmtId="0" fontId="3" fillId="4" borderId="4" xfId="0" applyFont="1" applyFill="1" applyBorder="1" applyAlignment="1">
      <alignment horizontal="left" vertical="center"/>
    </xf>
    <xf numFmtId="0" fontId="3" fillId="4" borderId="8" xfId="0" applyFont="1" applyFill="1" applyBorder="1" applyAlignment="1">
      <alignment horizontal="left" vertical="center"/>
    </xf>
    <xf numFmtId="0" fontId="3" fillId="5" borderId="4" xfId="0" applyFont="1" applyFill="1" applyBorder="1" applyAlignment="1">
      <alignment horizontal="left"/>
    </xf>
    <xf numFmtId="0" fontId="8" fillId="0" borderId="0" xfId="0" applyFont="1" applyAlignment="1">
      <alignment horizontal="left"/>
    </xf>
    <xf numFmtId="0" fontId="3" fillId="6" borderId="8" xfId="0" applyFont="1" applyFill="1" applyBorder="1" applyAlignment="1">
      <alignment horizontal="left"/>
    </xf>
    <xf numFmtId="0" fontId="3" fillId="0" borderId="0" xfId="0" applyFont="1" applyAlignment="1">
      <alignment horizontal="left" vertical="center"/>
    </xf>
    <xf numFmtId="0" fontId="9" fillId="6" borderId="13" xfId="0" applyFont="1" applyFill="1" applyBorder="1" applyAlignment="1">
      <alignment horizontal="left"/>
    </xf>
    <xf numFmtId="0" fontId="3" fillId="4" borderId="13" xfId="0" applyFont="1" applyFill="1" applyBorder="1" applyAlignment="1">
      <alignment horizontal="left" vertical="center" wrapText="1"/>
    </xf>
    <xf numFmtId="0" fontId="3" fillId="4" borderId="13" xfId="0" applyFont="1" applyFill="1" applyBorder="1" applyAlignment="1">
      <alignment horizontal="left" vertical="center"/>
    </xf>
    <xf numFmtId="14" fontId="3" fillId="4" borderId="13" xfId="0" applyNumberFormat="1" applyFont="1" applyFill="1" applyBorder="1" applyAlignment="1">
      <alignment horizontal="left" vertical="center"/>
    </xf>
    <xf numFmtId="0" fontId="3" fillId="4" borderId="13" xfId="0" applyFont="1" applyFill="1" applyBorder="1" applyAlignment="1">
      <alignment horizontal="left" wrapText="1"/>
    </xf>
    <xf numFmtId="0" fontId="3" fillId="5" borderId="13" xfId="0" applyFont="1" applyFill="1" applyBorder="1" applyAlignment="1">
      <alignment horizontal="left"/>
    </xf>
    <xf numFmtId="0" fontId="3" fillId="5" borderId="21" xfId="0" applyFont="1" applyFill="1" applyBorder="1" applyAlignment="1">
      <alignment horizontal="left"/>
    </xf>
    <xf numFmtId="0" fontId="3" fillId="7" borderId="13" xfId="0" applyFont="1" applyFill="1" applyBorder="1" applyAlignment="1">
      <alignment horizontal="left"/>
    </xf>
    <xf numFmtId="14" fontId="3" fillId="4" borderId="13" xfId="0" applyNumberFormat="1" applyFont="1" applyFill="1" applyBorder="1" applyAlignment="1">
      <alignment horizontal="left" vertical="center" wrapText="1"/>
    </xf>
    <xf numFmtId="0" fontId="3" fillId="2" borderId="2" xfId="0" applyFont="1" applyFill="1" applyBorder="1" applyAlignment="1">
      <alignment horizontal="center" vertical="center"/>
    </xf>
    <xf numFmtId="0" fontId="3" fillId="11" borderId="13" xfId="0" applyFont="1" applyFill="1" applyBorder="1" applyAlignment="1">
      <alignment horizontal="center" vertical="center"/>
    </xf>
    <xf numFmtId="0" fontId="3" fillId="6" borderId="23" xfId="0" applyFont="1" applyFill="1" applyBorder="1" applyAlignment="1">
      <alignment horizontal="left" wrapText="1"/>
    </xf>
    <xf numFmtId="0" fontId="3" fillId="6" borderId="24" xfId="0" applyFont="1" applyFill="1" applyBorder="1" applyAlignment="1">
      <alignment horizontal="left" wrapText="1"/>
    </xf>
    <xf numFmtId="0" fontId="3" fillId="5" borderId="13" xfId="0" applyFont="1" applyFill="1" applyBorder="1" applyAlignment="1">
      <alignment horizontal="left" wrapText="1"/>
    </xf>
    <xf numFmtId="0" fontId="3" fillId="5" borderId="13" xfId="0" applyFont="1" applyFill="1" applyBorder="1" applyAlignment="1">
      <alignment wrapText="1"/>
    </xf>
    <xf numFmtId="0" fontId="11" fillId="0" borderId="0" xfId="0" applyFont="1"/>
    <xf numFmtId="0" fontId="3" fillId="0" borderId="0" xfId="0" applyFont="1" applyAlignment="1">
      <alignment vertical="center" wrapText="1"/>
    </xf>
    <xf numFmtId="0" fontId="3" fillId="0" borderId="0" xfId="0" applyFont="1" applyAlignment="1">
      <alignment vertical="center"/>
    </xf>
    <xf numFmtId="0" fontId="3" fillId="5" borderId="21" xfId="0" applyFont="1" applyFill="1" applyBorder="1" applyAlignment="1">
      <alignment horizontal="left" wrapText="1"/>
    </xf>
    <xf numFmtId="0" fontId="3" fillId="5" borderId="20" xfId="0" applyFont="1" applyFill="1" applyBorder="1" applyAlignment="1">
      <alignment horizontal="center" wrapText="1"/>
    </xf>
    <xf numFmtId="14" fontId="3" fillId="5" borderId="13" xfId="0" applyNumberFormat="1" applyFont="1" applyFill="1" applyBorder="1" applyAlignment="1">
      <alignment horizontal="left" wrapText="1"/>
    </xf>
    <xf numFmtId="14" fontId="3" fillId="4" borderId="13" xfId="0" applyNumberFormat="1" applyFont="1" applyFill="1" applyBorder="1" applyAlignment="1">
      <alignment horizontal="center"/>
    </xf>
    <xf numFmtId="14" fontId="3" fillId="5" borderId="13" xfId="0" applyNumberFormat="1" applyFont="1" applyFill="1" applyBorder="1" applyAlignment="1">
      <alignment horizontal="left"/>
    </xf>
    <xf numFmtId="0" fontId="3" fillId="12" borderId="26" xfId="0" applyFont="1" applyFill="1" applyBorder="1" applyAlignment="1">
      <alignment horizontal="center" vertical="center"/>
    </xf>
    <xf numFmtId="0" fontId="3" fillId="7" borderId="13" xfId="0" applyFont="1" applyFill="1" applyBorder="1" applyAlignment="1">
      <alignment horizontal="center" wrapText="1"/>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6" borderId="25" xfId="0" applyFont="1" applyFill="1" applyBorder="1" applyAlignment="1">
      <alignment horizontal="center" vertical="center"/>
    </xf>
    <xf numFmtId="0" fontId="3" fillId="7" borderId="13" xfId="0" applyFont="1" applyFill="1" applyBorder="1" applyAlignment="1">
      <alignment horizontal="center" vertical="center"/>
    </xf>
    <xf numFmtId="0" fontId="3" fillId="5" borderId="13" xfId="0" applyFont="1" applyFill="1" applyBorder="1" applyAlignment="1">
      <alignment horizontal="center" wrapText="1"/>
    </xf>
    <xf numFmtId="0" fontId="3" fillId="6" borderId="13" xfId="0" applyFont="1" applyFill="1" applyBorder="1" applyAlignment="1">
      <alignment horizontal="center" wrapText="1"/>
    </xf>
    <xf numFmtId="14" fontId="3" fillId="5" borderId="21" xfId="0" applyNumberFormat="1" applyFont="1" applyFill="1" applyBorder="1" applyAlignment="1">
      <alignment horizontal="left" wrapText="1"/>
    </xf>
    <xf numFmtId="0" fontId="3" fillId="7" borderId="13" xfId="0" applyFont="1" applyFill="1" applyBorder="1" applyAlignment="1">
      <alignment horizontal="left" wrapText="1"/>
    </xf>
    <xf numFmtId="0" fontId="3" fillId="4" borderId="13" xfId="0" applyFont="1" applyFill="1" applyBorder="1" applyAlignment="1">
      <alignment horizontal="center" wrapText="1"/>
    </xf>
    <xf numFmtId="0" fontId="3" fillId="6" borderId="27" xfId="0" applyFont="1" applyFill="1" applyBorder="1" applyAlignment="1">
      <alignment horizontal="center" wrapText="1"/>
    </xf>
    <xf numFmtId="0" fontId="3" fillId="6" borderId="24" xfId="0" applyFont="1" applyFill="1" applyBorder="1" applyAlignment="1">
      <alignment horizontal="center" wrapText="1"/>
    </xf>
    <xf numFmtId="0" fontId="3" fillId="0" borderId="0" xfId="0" applyFont="1" applyAlignment="1">
      <alignment horizontal="center" vertical="center" wrapText="1"/>
    </xf>
    <xf numFmtId="0" fontId="0" fillId="0" borderId="0" xfId="0" pivotButton="1"/>
    <xf numFmtId="0" fontId="3" fillId="5" borderId="13" xfId="0" applyFont="1" applyFill="1" applyBorder="1" applyAlignment="1">
      <alignment horizontal="left" vertical="center" indent="16"/>
    </xf>
    <xf numFmtId="0" fontId="2" fillId="2" borderId="0" xfId="0" applyFont="1" applyFill="1" applyAlignment="1">
      <alignment horizontal="left"/>
    </xf>
    <xf numFmtId="0" fontId="3" fillId="18" borderId="13" xfId="0" applyFont="1" applyFill="1" applyBorder="1" applyAlignment="1">
      <alignment horizontal="center" wrapText="1"/>
    </xf>
    <xf numFmtId="0" fontId="3" fillId="19" borderId="13" xfId="0" applyFont="1" applyFill="1" applyBorder="1" applyAlignment="1">
      <alignment horizontal="center" wrapText="1"/>
    </xf>
    <xf numFmtId="0" fontId="3" fillId="19" borderId="0" xfId="0" applyFont="1" applyFill="1" applyAlignment="1">
      <alignment horizontal="center" vertical="center"/>
    </xf>
    <xf numFmtId="0" fontId="3" fillId="18" borderId="0" xfId="0" applyFont="1" applyFill="1" applyAlignment="1">
      <alignment horizontal="center" vertical="center"/>
    </xf>
    <xf numFmtId="0" fontId="3" fillId="0" borderId="0" xfId="0" applyFont="1"/>
    <xf numFmtId="0" fontId="3" fillId="4" borderId="4" xfId="0" applyFont="1" applyFill="1" applyBorder="1" applyAlignment="1">
      <alignment horizontal="center" vertical="center"/>
    </xf>
    <xf numFmtId="0" fontId="3" fillId="4" borderId="8" xfId="0" applyFont="1" applyFill="1" applyBorder="1" applyAlignment="1">
      <alignment horizontal="center" vertical="center"/>
    </xf>
    <xf numFmtId="0" fontId="3" fillId="5" borderId="4" xfId="0" applyFont="1" applyFill="1" applyBorder="1" applyAlignment="1">
      <alignment horizontal="center"/>
    </xf>
    <xf numFmtId="0" fontId="3" fillId="6" borderId="8" xfId="0" applyFont="1" applyFill="1" applyBorder="1" applyAlignment="1">
      <alignment horizont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5" borderId="10" xfId="0" applyFont="1" applyFill="1" applyBorder="1" applyAlignment="1">
      <alignment horizontal="center"/>
    </xf>
    <xf numFmtId="0" fontId="11" fillId="0" borderId="13" xfId="0" applyFont="1" applyBorder="1" applyAlignment="1">
      <alignment horizontal="center" vertical="center"/>
    </xf>
    <xf numFmtId="0" fontId="0" fillId="0" borderId="13" xfId="0" applyBorder="1" applyAlignment="1">
      <alignment horizontal="center"/>
    </xf>
    <xf numFmtId="0" fontId="12" fillId="0" borderId="13" xfId="0" applyFont="1" applyBorder="1" applyAlignment="1">
      <alignment horizontal="center" vertical="center"/>
    </xf>
    <xf numFmtId="0" fontId="12" fillId="21" borderId="13" xfId="0" applyFont="1" applyFill="1" applyBorder="1" applyAlignment="1">
      <alignment horizontal="center" vertical="center"/>
    </xf>
    <xf numFmtId="0" fontId="11" fillId="0" borderId="13" xfId="0" applyFont="1" applyBorder="1" applyAlignment="1">
      <alignment horizontal="center"/>
    </xf>
    <xf numFmtId="0" fontId="11" fillId="21" borderId="13" xfId="0" applyFont="1" applyFill="1" applyBorder="1"/>
    <xf numFmtId="0" fontId="3" fillId="7" borderId="13" xfId="0" applyFont="1" applyFill="1" applyBorder="1" applyAlignment="1">
      <alignment horizontal="left" vertical="center" wrapText="1"/>
    </xf>
    <xf numFmtId="0" fontId="3" fillId="7" borderId="4" xfId="0" applyFont="1" applyFill="1" applyBorder="1" applyAlignment="1">
      <alignment horizontal="left" vertical="center" wrapText="1"/>
    </xf>
    <xf numFmtId="0" fontId="3" fillId="7" borderId="4"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6" borderId="13" xfId="0" applyFont="1" applyFill="1" applyBorder="1" applyAlignment="1">
      <alignment horizontal="left"/>
    </xf>
    <xf numFmtId="0" fontId="3" fillId="6" borderId="13" xfId="0" applyFont="1" applyFill="1" applyBorder="1" applyAlignment="1">
      <alignment horizontal="center"/>
    </xf>
    <xf numFmtId="0" fontId="10" fillId="6" borderId="13" xfId="0" applyFont="1" applyFill="1" applyBorder="1" applyAlignment="1">
      <alignment vertical="top" wrapText="1"/>
    </xf>
    <xf numFmtId="14" fontId="10" fillId="6" borderId="13" xfId="0" applyNumberFormat="1" applyFont="1" applyFill="1" applyBorder="1"/>
    <xf numFmtId="0" fontId="10" fillId="6" borderId="13" xfId="0" applyFont="1" applyFill="1" applyBorder="1" applyAlignment="1">
      <alignment wrapText="1"/>
    </xf>
    <xf numFmtId="0" fontId="10" fillId="6" borderId="31" xfId="0" applyFont="1" applyFill="1" applyBorder="1"/>
    <xf numFmtId="0" fontId="3" fillId="6" borderId="9" xfId="0" applyFont="1" applyFill="1" applyBorder="1" applyAlignment="1">
      <alignment horizontal="center"/>
    </xf>
    <xf numFmtId="0" fontId="3" fillId="6" borderId="2" xfId="0" applyFont="1" applyFill="1" applyBorder="1" applyAlignment="1">
      <alignment horizontal="left"/>
    </xf>
    <xf numFmtId="0" fontId="10" fillId="6" borderId="13" xfId="0" applyFont="1" applyFill="1" applyBorder="1"/>
    <xf numFmtId="0" fontId="3" fillId="6" borderId="24" xfId="0" applyFont="1" applyFill="1" applyBorder="1" applyAlignment="1">
      <alignment horizontal="center"/>
    </xf>
    <xf numFmtId="0" fontId="3" fillId="6" borderId="26" xfId="0" applyFont="1" applyFill="1" applyBorder="1" applyAlignment="1">
      <alignment horizontal="center"/>
    </xf>
    <xf numFmtId="0" fontId="3" fillId="6" borderId="32" xfId="0" applyFont="1" applyFill="1" applyBorder="1" applyAlignment="1">
      <alignment horizontal="center"/>
    </xf>
    <xf numFmtId="0" fontId="3" fillId="6" borderId="21" xfId="0" applyFont="1" applyFill="1" applyBorder="1" applyAlignment="1">
      <alignment horizontal="center"/>
    </xf>
    <xf numFmtId="0" fontId="3" fillId="7" borderId="33" xfId="0" applyFont="1" applyFill="1" applyBorder="1" applyAlignment="1">
      <alignment horizontal="left" vertical="center" wrapText="1"/>
    </xf>
    <xf numFmtId="0" fontId="3" fillId="10" borderId="2" xfId="0" applyFont="1" applyFill="1" applyBorder="1" applyAlignment="1">
      <alignment horizontal="center" vertical="center"/>
    </xf>
    <xf numFmtId="0" fontId="0" fillId="0" borderId="13" xfId="0" applyBorder="1"/>
    <xf numFmtId="0" fontId="12" fillId="0" borderId="13" xfId="0" applyFont="1" applyBorder="1"/>
    <xf numFmtId="0" fontId="3" fillId="6" borderId="34" xfId="0" applyFont="1" applyFill="1" applyBorder="1" applyAlignment="1">
      <alignment horizontal="center" vertical="center"/>
    </xf>
    <xf numFmtId="0" fontId="3" fillId="7" borderId="24" xfId="0" applyFont="1" applyFill="1" applyBorder="1" applyAlignment="1">
      <alignment horizontal="center" vertical="center"/>
    </xf>
    <xf numFmtId="0" fontId="3" fillId="5" borderId="24" xfId="0" applyFont="1" applyFill="1" applyBorder="1" applyAlignment="1">
      <alignment horizontal="center" vertical="center"/>
    </xf>
    <xf numFmtId="0" fontId="3" fillId="5" borderId="23" xfId="0" applyFont="1" applyFill="1" applyBorder="1" applyAlignment="1">
      <alignment horizontal="center" vertical="center"/>
    </xf>
    <xf numFmtId="0" fontId="3" fillId="3" borderId="35" xfId="0" applyFont="1" applyFill="1" applyBorder="1" applyAlignment="1">
      <alignment horizontal="center" vertical="center"/>
    </xf>
    <xf numFmtId="0" fontId="3" fillId="3" borderId="25" xfId="0" applyFont="1" applyFill="1" applyBorder="1" applyAlignment="1">
      <alignment horizontal="center" vertical="center"/>
    </xf>
    <xf numFmtId="0" fontId="3" fillId="0" borderId="25" xfId="0" applyFont="1" applyBorder="1" applyAlignment="1">
      <alignment horizontal="center" vertical="center"/>
    </xf>
    <xf numFmtId="0" fontId="3" fillId="11" borderId="25" xfId="0" applyFont="1" applyFill="1" applyBorder="1" applyAlignment="1">
      <alignment horizontal="center" vertical="center"/>
    </xf>
    <xf numFmtId="0" fontId="3" fillId="17" borderId="26" xfId="0" applyFont="1" applyFill="1" applyBorder="1" applyAlignment="1">
      <alignment horizontal="center" vertical="center"/>
    </xf>
    <xf numFmtId="0" fontId="15" fillId="0" borderId="0" xfId="0" applyFont="1"/>
    <xf numFmtId="0" fontId="15" fillId="0" borderId="29" xfId="0" applyFont="1" applyBorder="1" applyAlignment="1">
      <alignment horizontal="center" vertical="center"/>
    </xf>
    <xf numFmtId="0" fontId="15" fillId="0" borderId="28" xfId="0" applyFont="1" applyBorder="1" applyAlignment="1">
      <alignment horizontal="center" vertical="center"/>
    </xf>
    <xf numFmtId="0" fontId="0" fillId="0" borderId="0" xfId="0" applyAlignment="1">
      <alignment horizontal="center" vertical="center"/>
    </xf>
    <xf numFmtId="0" fontId="12" fillId="0" borderId="13" xfId="0" applyFont="1" applyBorder="1" applyAlignment="1">
      <alignment horizontal="center"/>
    </xf>
    <xf numFmtId="0" fontId="0" fillId="0" borderId="0" xfId="0" applyAlignment="1">
      <alignment horizontal="center"/>
    </xf>
    <xf numFmtId="0" fontId="12" fillId="0" borderId="0" xfId="0" applyFont="1" applyAlignment="1">
      <alignment horizontal="center"/>
    </xf>
    <xf numFmtId="0" fontId="17" fillId="0" borderId="13" xfId="0" applyFont="1" applyBorder="1" applyAlignment="1">
      <alignment horizontal="center"/>
    </xf>
    <xf numFmtId="0" fontId="2" fillId="0" borderId="0" xfId="0" applyFont="1" applyAlignment="1">
      <alignment horizontal="center" vertical="center"/>
    </xf>
    <xf numFmtId="0" fontId="12" fillId="22" borderId="13" xfId="0" applyFont="1" applyFill="1" applyBorder="1" applyAlignment="1">
      <alignment horizontal="center" vertical="center"/>
    </xf>
    <xf numFmtId="1" fontId="12" fillId="22" borderId="13" xfId="0" applyNumberFormat="1" applyFont="1" applyFill="1" applyBorder="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1" fillId="0" borderId="13" xfId="0" applyFont="1" applyBorder="1" applyAlignment="1">
      <alignment horizontal="left" vertical="top"/>
    </xf>
    <xf numFmtId="0" fontId="0" fillId="0" borderId="13" xfId="0" applyBorder="1" applyAlignment="1">
      <alignment horizontal="left" vertical="top"/>
    </xf>
    <xf numFmtId="14" fontId="3" fillId="4" borderId="13" xfId="0" applyNumberFormat="1" applyFont="1" applyFill="1" applyBorder="1" applyAlignment="1">
      <alignment horizontal="center" vertical="center" wrapText="1"/>
    </xf>
    <xf numFmtId="0" fontId="3" fillId="12" borderId="13" xfId="0" applyFont="1" applyFill="1" applyBorder="1" applyAlignment="1">
      <alignment horizontal="center" vertical="center"/>
    </xf>
    <xf numFmtId="0" fontId="3" fillId="12" borderId="35" xfId="0" applyFont="1" applyFill="1" applyBorder="1" applyAlignment="1">
      <alignment horizontal="center" vertical="center"/>
    </xf>
    <xf numFmtId="0" fontId="3" fillId="11" borderId="39" xfId="0" applyFont="1" applyFill="1" applyBorder="1" applyAlignment="1">
      <alignment horizontal="center" vertical="center"/>
    </xf>
    <xf numFmtId="0" fontId="3" fillId="11" borderId="1" xfId="0" applyFont="1" applyFill="1" applyBorder="1" applyAlignment="1">
      <alignment horizontal="center" vertical="center"/>
    </xf>
    <xf numFmtId="0" fontId="3" fillId="12" borderId="2" xfId="0" applyFont="1" applyFill="1" applyBorder="1" applyAlignment="1">
      <alignment horizontal="center" vertical="center"/>
    </xf>
    <xf numFmtId="0" fontId="18" fillId="0" borderId="0" xfId="0" applyFont="1"/>
    <xf numFmtId="0" fontId="14" fillId="0" borderId="0" xfId="0" applyFont="1"/>
    <xf numFmtId="0" fontId="19" fillId="0" borderId="0" xfId="0" applyFont="1"/>
    <xf numFmtId="0" fontId="3" fillId="3" borderId="0" xfId="0" applyFont="1" applyFill="1" applyAlignment="1">
      <alignment horizontal="center" vertical="center"/>
    </xf>
    <xf numFmtId="0" fontId="0" fillId="2" borderId="0" xfId="0" applyFill="1"/>
    <xf numFmtId="0" fontId="3" fillId="10" borderId="0" xfId="0" applyFont="1" applyFill="1" applyAlignment="1">
      <alignment horizontal="center" vertical="center"/>
    </xf>
    <xf numFmtId="0" fontId="20" fillId="0" borderId="41" xfId="0" applyFont="1" applyBorder="1" applyAlignment="1">
      <alignment readingOrder="1"/>
    </xf>
    <xf numFmtId="0" fontId="20" fillId="0" borderId="42" xfId="0" applyFont="1" applyBorder="1" applyAlignment="1">
      <alignment readingOrder="1"/>
    </xf>
    <xf numFmtId="0" fontId="20" fillId="0" borderId="43" xfId="0" applyFont="1" applyBorder="1" applyAlignment="1">
      <alignment readingOrder="1"/>
    </xf>
    <xf numFmtId="0" fontId="20" fillId="0" borderId="45" xfId="0" applyFont="1" applyBorder="1" applyAlignment="1">
      <alignment readingOrder="1"/>
    </xf>
    <xf numFmtId="0" fontId="0" fillId="0" borderId="46" xfId="0" applyBorder="1"/>
    <xf numFmtId="0" fontId="20" fillId="0" borderId="47" xfId="0" applyFont="1" applyBorder="1" applyAlignment="1">
      <alignment readingOrder="1"/>
    </xf>
    <xf numFmtId="0" fontId="20" fillId="0" borderId="48" xfId="0" applyFont="1" applyBorder="1" applyAlignment="1">
      <alignment readingOrder="1"/>
    </xf>
    <xf numFmtId="0" fontId="20" fillId="0" borderId="42" xfId="0" quotePrefix="1" applyFont="1" applyBorder="1" applyAlignment="1">
      <alignment readingOrder="1"/>
    </xf>
    <xf numFmtId="0" fontId="20" fillId="0" borderId="49" xfId="0" applyFont="1" applyBorder="1" applyAlignment="1">
      <alignment readingOrder="1"/>
    </xf>
    <xf numFmtId="0" fontId="20" fillId="0" borderId="49" xfId="0" quotePrefix="1" applyFont="1" applyBorder="1" applyAlignment="1">
      <alignment readingOrder="1"/>
    </xf>
    <xf numFmtId="0" fontId="20" fillId="0" borderId="43" xfId="0" quotePrefix="1" applyFont="1" applyBorder="1" applyAlignment="1">
      <alignment readingOrder="1"/>
    </xf>
    <xf numFmtId="0" fontId="20" fillId="0" borderId="50" xfId="0" applyFont="1" applyBorder="1" applyAlignment="1">
      <alignment readingOrder="1"/>
    </xf>
    <xf numFmtId="0" fontId="3" fillId="8" borderId="51" xfId="0" applyFont="1" applyFill="1" applyBorder="1" applyAlignment="1">
      <alignment horizontal="center" vertical="center"/>
    </xf>
    <xf numFmtId="0" fontId="3" fillId="8" borderId="51" xfId="0" applyFont="1" applyFill="1" applyBorder="1" applyAlignment="1">
      <alignment vertical="center"/>
    </xf>
    <xf numFmtId="0" fontId="3" fillId="3" borderId="51" xfId="0" applyFont="1" applyFill="1" applyBorder="1" applyAlignment="1">
      <alignment horizontal="center" vertical="center"/>
    </xf>
    <xf numFmtId="0" fontId="3" fillId="10" borderId="51" xfId="0" applyFont="1" applyFill="1" applyBorder="1" applyAlignment="1">
      <alignment horizontal="center" vertical="center"/>
    </xf>
    <xf numFmtId="0" fontId="3" fillId="11" borderId="52" xfId="0" applyFont="1" applyFill="1" applyBorder="1" applyAlignment="1">
      <alignment horizontal="center" vertical="center"/>
    </xf>
    <xf numFmtId="0" fontId="3" fillId="12" borderId="51" xfId="0" applyFont="1" applyFill="1" applyBorder="1" applyAlignment="1">
      <alignment horizontal="center" vertical="center"/>
    </xf>
    <xf numFmtId="0" fontId="3" fillId="9" borderId="51" xfId="0" applyFont="1" applyFill="1" applyBorder="1" applyAlignment="1">
      <alignment horizontal="center" vertical="center"/>
    </xf>
    <xf numFmtId="0" fontId="3" fillId="3" borderId="52" xfId="0" applyFont="1" applyFill="1" applyBorder="1" applyAlignment="1">
      <alignment horizontal="center" vertical="center"/>
    </xf>
    <xf numFmtId="0" fontId="3" fillId="4" borderId="51" xfId="0" applyFont="1" applyFill="1" applyBorder="1" applyAlignment="1">
      <alignment horizontal="center" vertical="center"/>
    </xf>
    <xf numFmtId="0" fontId="3" fillId="10" borderId="52" xfId="0" applyFont="1" applyFill="1" applyBorder="1" applyAlignment="1">
      <alignment horizontal="center" vertical="center"/>
    </xf>
    <xf numFmtId="0" fontId="3" fillId="5" borderId="51" xfId="0" applyFont="1" applyFill="1" applyBorder="1" applyAlignment="1">
      <alignment horizontal="center" vertical="center"/>
    </xf>
    <xf numFmtId="0" fontId="2" fillId="2" borderId="51" xfId="0" applyFont="1" applyFill="1" applyBorder="1" applyAlignment="1">
      <alignment horizontal="center" vertical="center"/>
    </xf>
    <xf numFmtId="0" fontId="3" fillId="0" borderId="51" xfId="0" applyFont="1" applyBorder="1" applyAlignment="1">
      <alignment horizontal="center" vertical="center"/>
    </xf>
    <xf numFmtId="0" fontId="20" fillId="4" borderId="42" xfId="0" applyFont="1" applyFill="1" applyBorder="1" applyAlignment="1">
      <alignment readingOrder="1"/>
    </xf>
    <xf numFmtId="0" fontId="20" fillId="3" borderId="42" xfId="0" applyFont="1" applyFill="1" applyBorder="1" applyAlignment="1">
      <alignment readingOrder="1"/>
    </xf>
    <xf numFmtId="0" fontId="20" fillId="3" borderId="49" xfId="0" applyFont="1" applyFill="1" applyBorder="1" applyAlignment="1">
      <alignment readingOrder="1"/>
    </xf>
    <xf numFmtId="0" fontId="20" fillId="3" borderId="43" xfId="0" applyFont="1" applyFill="1" applyBorder="1" applyAlignment="1">
      <alignment readingOrder="1"/>
    </xf>
    <xf numFmtId="0" fontId="20" fillId="3" borderId="44" xfId="0" applyFont="1" applyFill="1" applyBorder="1" applyAlignment="1">
      <alignment readingOrder="1"/>
    </xf>
    <xf numFmtId="0" fontId="20" fillId="9" borderId="42" xfId="0" applyFont="1" applyFill="1" applyBorder="1" applyAlignment="1">
      <alignment readingOrder="1"/>
    </xf>
    <xf numFmtId="0" fontId="20" fillId="9" borderId="49" xfId="0" applyFont="1" applyFill="1" applyBorder="1" applyAlignment="1">
      <alignment readingOrder="1"/>
    </xf>
    <xf numFmtId="0" fontId="20" fillId="9" borderId="43" xfId="0" applyFont="1" applyFill="1" applyBorder="1" applyAlignment="1">
      <alignment readingOrder="1"/>
    </xf>
    <xf numFmtId="0" fontId="21" fillId="3" borderId="43" xfId="0" applyFont="1" applyFill="1" applyBorder="1" applyAlignment="1">
      <alignment readingOrder="1"/>
    </xf>
    <xf numFmtId="0" fontId="22" fillId="0" borderId="0" xfId="0" applyFont="1"/>
    <xf numFmtId="0" fontId="20" fillId="12" borderId="42" xfId="0" applyFont="1" applyFill="1" applyBorder="1" applyAlignment="1">
      <alignment readingOrder="1"/>
    </xf>
    <xf numFmtId="0" fontId="20" fillId="12" borderId="49" xfId="0" applyFont="1" applyFill="1" applyBorder="1" applyAlignment="1">
      <alignment readingOrder="1"/>
    </xf>
    <xf numFmtId="0" fontId="20" fillId="12" borderId="43" xfId="0" applyFont="1" applyFill="1" applyBorder="1" applyAlignment="1">
      <alignment readingOrder="1"/>
    </xf>
    <xf numFmtId="0" fontId="20" fillId="23" borderId="42" xfId="0" applyFont="1" applyFill="1" applyBorder="1" applyAlignment="1">
      <alignment readingOrder="1"/>
    </xf>
    <xf numFmtId="0" fontId="20" fillId="23" borderId="49" xfId="0" applyFont="1" applyFill="1" applyBorder="1" applyAlignment="1">
      <alignment readingOrder="1"/>
    </xf>
    <xf numFmtId="0" fontId="20" fillId="23" borderId="43" xfId="0" applyFont="1" applyFill="1" applyBorder="1" applyAlignment="1">
      <alignment readingOrder="1"/>
    </xf>
    <xf numFmtId="0" fontId="3" fillId="17" borderId="51" xfId="0" applyFont="1" applyFill="1" applyBorder="1" applyAlignment="1">
      <alignment horizontal="center" vertical="center"/>
    </xf>
    <xf numFmtId="0" fontId="3" fillId="11" borderId="51" xfId="0" applyFont="1" applyFill="1" applyBorder="1" applyAlignment="1">
      <alignment horizontal="center" vertical="center"/>
    </xf>
    <xf numFmtId="0" fontId="3" fillId="10" borderId="52" xfId="0" applyFont="1" applyFill="1" applyBorder="1" applyAlignment="1">
      <alignment vertical="center"/>
    </xf>
    <xf numFmtId="0" fontId="3" fillId="5" borderId="51" xfId="0" applyFont="1" applyFill="1" applyBorder="1" applyAlignment="1">
      <alignment horizontal="left"/>
    </xf>
    <xf numFmtId="0" fontId="3" fillId="5" borderId="51" xfId="0" applyFont="1" applyFill="1" applyBorder="1" applyAlignment="1">
      <alignment horizontal="center"/>
    </xf>
    <xf numFmtId="0" fontId="3" fillId="4" borderId="51" xfId="0" applyFont="1" applyFill="1" applyBorder="1" applyAlignment="1">
      <alignment horizontal="right"/>
    </xf>
    <xf numFmtId="0" fontId="3" fillId="4" borderId="51" xfId="0" applyFont="1" applyFill="1" applyBorder="1" applyAlignment="1">
      <alignment horizontal="left" vertical="center"/>
    </xf>
    <xf numFmtId="0" fontId="14" fillId="0" borderId="0" xfId="0" applyFont="1" applyAlignment="1">
      <alignment horizontal="center" vertical="center"/>
    </xf>
    <xf numFmtId="0" fontId="2" fillId="2" borderId="39" xfId="0" applyFont="1" applyFill="1" applyBorder="1" applyAlignment="1">
      <alignment horizontal="center" vertical="center"/>
    </xf>
    <xf numFmtId="0" fontId="3" fillId="8" borderId="0" xfId="0" applyFont="1" applyFill="1" applyAlignment="1">
      <alignment horizontal="center" vertical="center"/>
    </xf>
    <xf numFmtId="0" fontId="3" fillId="17" borderId="0" xfId="0" applyFont="1" applyFill="1" applyAlignment="1">
      <alignment horizontal="center" vertical="center"/>
    </xf>
    <xf numFmtId="0" fontId="3" fillId="11" borderId="38" xfId="0" applyFont="1" applyFill="1" applyBorder="1" applyAlignment="1">
      <alignment horizontal="center" vertical="center"/>
    </xf>
    <xf numFmtId="0" fontId="3" fillId="11" borderId="34" xfId="0" applyFont="1" applyFill="1" applyBorder="1" applyAlignment="1">
      <alignment horizontal="center" vertical="center"/>
    </xf>
    <xf numFmtId="0" fontId="3" fillId="11" borderId="54" xfId="0" applyFont="1" applyFill="1" applyBorder="1" applyAlignment="1">
      <alignment horizontal="center" vertical="center"/>
    </xf>
    <xf numFmtId="0" fontId="3" fillId="12" borderId="0" xfId="0" applyFont="1" applyFill="1" applyAlignment="1">
      <alignment horizontal="center" vertical="center"/>
    </xf>
    <xf numFmtId="0" fontId="3" fillId="9" borderId="0" xfId="0" applyFont="1" applyFill="1" applyAlignment="1">
      <alignment horizontal="center" vertical="center"/>
    </xf>
    <xf numFmtId="0" fontId="3" fillId="3" borderId="55" xfId="0" applyFont="1" applyFill="1" applyBorder="1" applyAlignment="1">
      <alignment horizontal="center" vertical="center"/>
    </xf>
    <xf numFmtId="0" fontId="2" fillId="0" borderId="51" xfId="0" applyFont="1" applyBorder="1" applyAlignment="1">
      <alignment horizontal="center" vertical="center"/>
    </xf>
    <xf numFmtId="0" fontId="2" fillId="2" borderId="52" xfId="0" applyFont="1" applyFill="1" applyBorder="1" applyAlignment="1">
      <alignment horizontal="center" vertical="center"/>
    </xf>
    <xf numFmtId="0" fontId="2" fillId="2" borderId="52" xfId="0" applyFont="1" applyFill="1" applyBorder="1" applyAlignment="1">
      <alignment horizontal="center" vertical="center" wrapText="1"/>
    </xf>
    <xf numFmtId="0" fontId="3" fillId="0" borderId="51" xfId="0" applyFont="1" applyBorder="1" applyAlignment="1">
      <alignment horizontal="left"/>
    </xf>
    <xf numFmtId="0" fontId="3" fillId="4" borderId="51" xfId="0" applyFont="1" applyFill="1" applyBorder="1" applyAlignment="1">
      <alignment horizontal="center"/>
    </xf>
    <xf numFmtId="0" fontId="3" fillId="0" borderId="51" xfId="0" applyFont="1" applyBorder="1" applyAlignment="1">
      <alignment horizontal="center"/>
    </xf>
    <xf numFmtId="0" fontId="3" fillId="4" borderId="51" xfId="0" applyFont="1" applyFill="1" applyBorder="1" applyAlignment="1">
      <alignment horizontal="center" vertical="center" wrapText="1"/>
    </xf>
    <xf numFmtId="0" fontId="3" fillId="5" borderId="55" xfId="0" applyFont="1" applyFill="1" applyBorder="1" applyAlignment="1">
      <alignment horizontal="center"/>
    </xf>
    <xf numFmtId="0" fontId="3" fillId="6" borderId="56" xfId="0" applyFont="1" applyFill="1" applyBorder="1" applyAlignment="1">
      <alignment horizontal="center"/>
    </xf>
    <xf numFmtId="0" fontId="3" fillId="6" borderId="51" xfId="0" applyFont="1" applyFill="1" applyBorder="1" applyAlignment="1">
      <alignment horizontal="left"/>
    </xf>
    <xf numFmtId="0" fontId="3" fillId="6" borderId="55" xfId="0" applyFont="1" applyFill="1" applyBorder="1" applyAlignment="1">
      <alignment horizontal="center"/>
    </xf>
    <xf numFmtId="0" fontId="3" fillId="6" borderId="51" xfId="0" applyFont="1" applyFill="1" applyBorder="1" applyAlignment="1">
      <alignment horizontal="center"/>
    </xf>
    <xf numFmtId="0" fontId="3" fillId="7" borderId="51" xfId="0" applyFont="1" applyFill="1" applyBorder="1" applyAlignment="1">
      <alignment horizontal="left" vertical="center"/>
    </xf>
    <xf numFmtId="0" fontId="3" fillId="7" borderId="51" xfId="0" applyFont="1" applyFill="1" applyBorder="1" applyAlignment="1">
      <alignment horizontal="center" vertical="center"/>
    </xf>
    <xf numFmtId="0" fontId="3" fillId="7" borderId="55" xfId="0" applyFont="1" applyFill="1" applyBorder="1" applyAlignment="1">
      <alignment horizontal="center" vertical="center"/>
    </xf>
    <xf numFmtId="0" fontId="2" fillId="2" borderId="51" xfId="0" applyFont="1" applyFill="1" applyBorder="1" applyAlignment="1">
      <alignment horizontal="left" vertical="center"/>
    </xf>
    <xf numFmtId="0" fontId="2" fillId="2" borderId="51" xfId="0" applyFont="1" applyFill="1" applyBorder="1" applyAlignment="1">
      <alignment vertical="center"/>
    </xf>
    <xf numFmtId="0" fontId="2" fillId="2" borderId="51" xfId="0" applyFont="1" applyFill="1" applyBorder="1" applyAlignment="1">
      <alignment horizontal="center"/>
    </xf>
    <xf numFmtId="0" fontId="2" fillId="2" borderId="51" xfId="0" applyFont="1" applyFill="1" applyBorder="1" applyAlignment="1">
      <alignment horizontal="left"/>
    </xf>
    <xf numFmtId="0" fontId="3" fillId="0" borderId="51" xfId="0" applyFont="1" applyBorder="1" applyAlignment="1">
      <alignment horizontal="left" vertical="center"/>
    </xf>
    <xf numFmtId="0" fontId="3" fillId="0" borderId="51" xfId="0" applyFont="1" applyBorder="1" applyAlignment="1">
      <alignment vertical="center"/>
    </xf>
    <xf numFmtId="0" fontId="3" fillId="0" borderId="51" xfId="0" applyFont="1" applyBorder="1"/>
    <xf numFmtId="0" fontId="2" fillId="0" borderId="51" xfId="0" applyFont="1" applyBorder="1" applyAlignment="1">
      <alignment horizontal="left"/>
    </xf>
    <xf numFmtId="0" fontId="2" fillId="2" borderId="52" xfId="0" applyFont="1" applyFill="1" applyBorder="1" applyAlignment="1">
      <alignment horizontal="center" wrapText="1"/>
    </xf>
    <xf numFmtId="0" fontId="2" fillId="2" borderId="52" xfId="0" applyFont="1" applyFill="1" applyBorder="1" applyAlignment="1">
      <alignment horizontal="center"/>
    </xf>
    <xf numFmtId="0" fontId="2" fillId="2" borderId="57" xfId="0" applyFont="1" applyFill="1" applyBorder="1" applyAlignment="1">
      <alignment horizontal="center" vertical="center" wrapText="1"/>
    </xf>
    <xf numFmtId="0" fontId="3" fillId="8" borderId="55" xfId="0" applyFont="1" applyFill="1" applyBorder="1" applyAlignment="1">
      <alignment horizontal="center" vertical="center"/>
    </xf>
    <xf numFmtId="0" fontId="3" fillId="4" borderId="58" xfId="0" applyFont="1" applyFill="1" applyBorder="1" applyAlignment="1">
      <alignment horizontal="center"/>
    </xf>
    <xf numFmtId="0" fontId="4" fillId="0" borderId="58" xfId="0" applyFont="1" applyBorder="1" applyAlignment="1">
      <alignment horizontal="center" vertical="center"/>
    </xf>
    <xf numFmtId="0" fontId="3" fillId="5" borderId="58" xfId="0" applyFont="1" applyFill="1" applyBorder="1" applyAlignment="1">
      <alignment horizontal="center"/>
    </xf>
    <xf numFmtId="0" fontId="3" fillId="4" borderId="55" xfId="0" applyFont="1" applyFill="1" applyBorder="1" applyAlignment="1">
      <alignment horizontal="center" vertical="center"/>
    </xf>
    <xf numFmtId="14" fontId="3" fillId="5" borderId="58" xfId="0" applyNumberFormat="1" applyFont="1" applyFill="1" applyBorder="1" applyAlignment="1">
      <alignment horizontal="center"/>
    </xf>
    <xf numFmtId="0" fontId="3" fillId="19" borderId="58" xfId="0" applyFont="1" applyFill="1" applyBorder="1" applyAlignment="1">
      <alignment horizontal="center"/>
    </xf>
    <xf numFmtId="0" fontId="3" fillId="17" borderId="55" xfId="0" applyFont="1" applyFill="1" applyBorder="1" applyAlignment="1">
      <alignment horizontal="center" vertical="center"/>
    </xf>
    <xf numFmtId="14" fontId="3" fillId="6" borderId="58" xfId="0" applyNumberFormat="1" applyFont="1" applyFill="1" applyBorder="1" applyAlignment="1">
      <alignment horizontal="center"/>
    </xf>
    <xf numFmtId="0" fontId="3" fillId="17" borderId="57" xfId="0" applyFont="1" applyFill="1" applyBorder="1" applyAlignment="1">
      <alignment horizontal="center" vertical="center"/>
    </xf>
    <xf numFmtId="0" fontId="3" fillId="6" borderId="58" xfId="0" applyFont="1" applyFill="1" applyBorder="1" applyAlignment="1">
      <alignment horizontal="center"/>
    </xf>
    <xf numFmtId="0" fontId="3" fillId="17" borderId="59" xfId="0" applyFont="1" applyFill="1" applyBorder="1" applyAlignment="1">
      <alignment horizontal="center" vertical="center"/>
    </xf>
    <xf numFmtId="14" fontId="3" fillId="18" borderId="58" xfId="0" applyNumberFormat="1" applyFont="1" applyFill="1" applyBorder="1" applyAlignment="1">
      <alignment horizontal="center"/>
    </xf>
    <xf numFmtId="0" fontId="3" fillId="10" borderId="55" xfId="0" applyFont="1" applyFill="1" applyBorder="1" applyAlignment="1">
      <alignment horizontal="center" vertical="center"/>
    </xf>
    <xf numFmtId="0" fontId="4" fillId="0" borderId="51" xfId="0" applyFont="1" applyBorder="1" applyAlignment="1">
      <alignment horizontal="center" vertical="center" wrapText="1"/>
    </xf>
    <xf numFmtId="0" fontId="3" fillId="10" borderId="57" xfId="0" applyFont="1" applyFill="1" applyBorder="1" applyAlignment="1">
      <alignment horizontal="center" vertical="center"/>
    </xf>
    <xf numFmtId="0" fontId="3" fillId="11" borderId="55" xfId="0" applyFont="1" applyFill="1" applyBorder="1" applyAlignment="1">
      <alignment horizontal="center" vertical="center"/>
    </xf>
    <xf numFmtId="0" fontId="3" fillId="11" borderId="57" xfId="0" applyFont="1" applyFill="1" applyBorder="1" applyAlignment="1">
      <alignment horizontal="center" vertical="center"/>
    </xf>
    <xf numFmtId="0" fontId="4" fillId="0" borderId="58" xfId="0" applyFont="1" applyBorder="1" applyAlignment="1">
      <alignment horizontal="center" vertical="center" wrapText="1"/>
    </xf>
    <xf numFmtId="14" fontId="3" fillId="6" borderId="51" xfId="0" applyNumberFormat="1" applyFont="1" applyFill="1" applyBorder="1" applyAlignment="1">
      <alignment horizontal="center"/>
    </xf>
    <xf numFmtId="0" fontId="3" fillId="12" borderId="55" xfId="0" applyFont="1" applyFill="1" applyBorder="1" applyAlignment="1">
      <alignment horizontal="center" vertical="center"/>
    </xf>
    <xf numFmtId="14" fontId="3" fillId="7" borderId="58" xfId="0" applyNumberFormat="1" applyFont="1" applyFill="1" applyBorder="1" applyAlignment="1">
      <alignment horizontal="center"/>
    </xf>
    <xf numFmtId="0" fontId="3" fillId="7" borderId="58" xfId="0" applyFont="1" applyFill="1" applyBorder="1" applyAlignment="1">
      <alignment horizontal="center"/>
    </xf>
    <xf numFmtId="0" fontId="3" fillId="9" borderId="55" xfId="0" applyFont="1" applyFill="1" applyBorder="1" applyAlignment="1">
      <alignment horizontal="center" vertical="center"/>
    </xf>
    <xf numFmtId="14" fontId="3" fillId="7" borderId="58" xfId="0" applyNumberFormat="1" applyFont="1" applyFill="1" applyBorder="1" applyAlignment="1">
      <alignment horizontal="center" vertical="center"/>
    </xf>
    <xf numFmtId="0" fontId="3" fillId="5" borderId="55" xfId="0" applyFont="1" applyFill="1" applyBorder="1" applyAlignment="1">
      <alignment horizontal="center" vertical="center"/>
    </xf>
    <xf numFmtId="14" fontId="2" fillId="5" borderId="55" xfId="0" applyNumberFormat="1" applyFont="1" applyFill="1" applyBorder="1" applyAlignment="1">
      <alignment horizontal="center"/>
    </xf>
    <xf numFmtId="14" fontId="3" fillId="5" borderId="55" xfId="0" applyNumberFormat="1" applyFont="1" applyFill="1" applyBorder="1" applyAlignment="1">
      <alignment horizontal="center"/>
    </xf>
    <xf numFmtId="0" fontId="3" fillId="3" borderId="55" xfId="0" applyFont="1" applyFill="1" applyBorder="1" applyAlignment="1">
      <alignment horizontal="center" vertical="center" wrapText="1"/>
    </xf>
    <xf numFmtId="0" fontId="4" fillId="2" borderId="51" xfId="0" applyFont="1" applyFill="1" applyBorder="1" applyAlignment="1">
      <alignment horizontal="center" vertical="center"/>
    </xf>
    <xf numFmtId="0" fontId="5" fillId="2" borderId="51" xfId="0" applyFont="1" applyFill="1" applyBorder="1" applyAlignment="1">
      <alignment horizontal="center"/>
    </xf>
    <xf numFmtId="0" fontId="5" fillId="0" borderId="51" xfId="0" applyFont="1" applyBorder="1" applyAlignment="1">
      <alignment horizontal="center"/>
    </xf>
    <xf numFmtId="0" fontId="6" fillId="16" borderId="51" xfId="0" applyFont="1" applyFill="1" applyBorder="1" applyAlignment="1">
      <alignment horizontal="center"/>
    </xf>
    <xf numFmtId="0" fontId="6" fillId="0" borderId="51" xfId="0" applyFont="1" applyBorder="1" applyAlignment="1">
      <alignment horizontal="center"/>
    </xf>
    <xf numFmtId="0" fontId="1" fillId="0" borderId="51" xfId="0" applyFont="1" applyBorder="1" applyAlignment="1">
      <alignment horizontal="center"/>
    </xf>
    <xf numFmtId="0" fontId="8" fillId="2" borderId="51" xfId="0" applyFont="1" applyFill="1" applyBorder="1" applyAlignment="1">
      <alignment horizontal="left"/>
    </xf>
    <xf numFmtId="0" fontId="8" fillId="6" borderId="55" xfId="0" applyFont="1" applyFill="1" applyBorder="1" applyAlignment="1">
      <alignment horizontal="left"/>
    </xf>
    <xf numFmtId="0" fontId="3" fillId="2" borderId="51" xfId="0" applyFont="1" applyFill="1" applyBorder="1" applyAlignment="1">
      <alignment horizontal="center" vertical="center"/>
    </xf>
    <xf numFmtId="0" fontId="8" fillId="2" borderId="51" xfId="0" applyFont="1" applyFill="1" applyBorder="1" applyAlignment="1">
      <alignment horizontal="center" vertical="center"/>
    </xf>
    <xf numFmtId="0" fontId="0" fillId="0" borderId="58" xfId="0" applyBorder="1" applyAlignment="1">
      <alignment horizontal="center" vertical="center"/>
    </xf>
    <xf numFmtId="0" fontId="0" fillId="0" borderId="51" xfId="0" applyBorder="1" applyAlignment="1">
      <alignment horizontal="center" vertical="center"/>
    </xf>
    <xf numFmtId="0" fontId="0" fillId="0" borderId="55" xfId="0" applyBorder="1" applyAlignment="1">
      <alignment horizontal="center" vertical="center"/>
    </xf>
    <xf numFmtId="0" fontId="11" fillId="0" borderId="58" xfId="0" applyFont="1" applyBorder="1" applyAlignment="1">
      <alignment horizontal="center" vertical="center"/>
    </xf>
    <xf numFmtId="0" fontId="11" fillId="0" borderId="51" xfId="0" applyFont="1" applyBorder="1" applyAlignment="1">
      <alignment horizontal="center" vertical="center"/>
    </xf>
    <xf numFmtId="0" fontId="11" fillId="0" borderId="55" xfId="0" applyFont="1" applyBorder="1" applyAlignment="1">
      <alignment horizontal="center" vertical="center"/>
    </xf>
    <xf numFmtId="0" fontId="21" fillId="0" borderId="60" xfId="0" applyFont="1" applyBorder="1" applyAlignment="1">
      <alignment horizontal="center" vertical="center" readingOrder="1"/>
    </xf>
    <xf numFmtId="0" fontId="20" fillId="0" borderId="60" xfId="0" applyFont="1" applyBorder="1" applyAlignment="1">
      <alignment readingOrder="1"/>
    </xf>
    <xf numFmtId="0" fontId="20" fillId="4" borderId="60" xfId="0" applyFont="1" applyFill="1" applyBorder="1" applyAlignment="1">
      <alignment readingOrder="1"/>
    </xf>
    <xf numFmtId="0" fontId="0" fillId="0" borderId="60" xfId="0" applyBorder="1"/>
    <xf numFmtId="0" fontId="21" fillId="3" borderId="60" xfId="0" applyFont="1" applyFill="1" applyBorder="1" applyAlignment="1">
      <alignment readingOrder="1"/>
    </xf>
    <xf numFmtId="0" fontId="20" fillId="3" borderId="60" xfId="0" applyFont="1" applyFill="1" applyBorder="1" applyAlignment="1">
      <alignment readingOrder="1"/>
    </xf>
    <xf numFmtId="0" fontId="21" fillId="23" borderId="60" xfId="0" applyFont="1" applyFill="1" applyBorder="1" applyAlignment="1">
      <alignment readingOrder="1"/>
    </xf>
    <xf numFmtId="0" fontId="20" fillId="23" borderId="60" xfId="0" applyFont="1" applyFill="1" applyBorder="1" applyAlignment="1">
      <alignment readingOrder="1"/>
    </xf>
    <xf numFmtId="0" fontId="23" fillId="23" borderId="60" xfId="0" applyFont="1" applyFill="1" applyBorder="1"/>
    <xf numFmtId="0" fontId="23" fillId="3" borderId="60" xfId="0" applyFont="1" applyFill="1" applyBorder="1" applyAlignment="1">
      <alignment readingOrder="1"/>
    </xf>
    <xf numFmtId="0" fontId="20" fillId="9" borderId="60" xfId="0" applyFont="1" applyFill="1" applyBorder="1" applyAlignment="1">
      <alignment readingOrder="1"/>
    </xf>
    <xf numFmtId="0" fontId="21" fillId="9" borderId="60" xfId="0" applyFont="1" applyFill="1" applyBorder="1" applyAlignment="1">
      <alignment readingOrder="1"/>
    </xf>
    <xf numFmtId="0" fontId="20" fillId="12" borderId="60" xfId="0" applyFont="1" applyFill="1" applyBorder="1" applyAlignment="1">
      <alignment readingOrder="1"/>
    </xf>
    <xf numFmtId="0" fontId="20" fillId="12" borderId="60" xfId="0" applyFont="1" applyFill="1" applyBorder="1" applyAlignment="1">
      <alignment wrapText="1" readingOrder="1"/>
    </xf>
    <xf numFmtId="0" fontId="21" fillId="5" borderId="60" xfId="0" applyFont="1" applyFill="1" applyBorder="1" applyAlignment="1">
      <alignment readingOrder="1"/>
    </xf>
    <xf numFmtId="0" fontId="20" fillId="5" borderId="60" xfId="0" applyFont="1" applyFill="1" applyBorder="1" applyAlignment="1">
      <alignment readingOrder="1"/>
    </xf>
    <xf numFmtId="0" fontId="21" fillId="24" borderId="60" xfId="0" applyFont="1" applyFill="1" applyBorder="1" applyAlignment="1">
      <alignment readingOrder="1"/>
    </xf>
    <xf numFmtId="0" fontId="20" fillId="24" borderId="60" xfId="0" applyFont="1" applyFill="1" applyBorder="1" applyAlignment="1">
      <alignment readingOrder="1"/>
    </xf>
    <xf numFmtId="0" fontId="21" fillId="11" borderId="60" xfId="0" applyFont="1" applyFill="1" applyBorder="1" applyAlignment="1">
      <alignment readingOrder="1"/>
    </xf>
    <xf numFmtId="0" fontId="20" fillId="11" borderId="60" xfId="0" applyFont="1" applyFill="1" applyBorder="1" applyAlignment="1">
      <alignment readingOrder="1"/>
    </xf>
    <xf numFmtId="0" fontId="0" fillId="11" borderId="60" xfId="0" applyFill="1" applyBorder="1"/>
    <xf numFmtId="0" fontId="20" fillId="25" borderId="60" xfId="0" applyFont="1" applyFill="1" applyBorder="1" applyAlignment="1">
      <alignment readingOrder="1"/>
    </xf>
    <xf numFmtId="0" fontId="0" fillId="25" borderId="60" xfId="0" applyFill="1" applyBorder="1"/>
    <xf numFmtId="0" fontId="0" fillId="16" borderId="60" xfId="0" applyFill="1" applyBorder="1"/>
    <xf numFmtId="0" fontId="24" fillId="0" borderId="0" xfId="0" applyFont="1"/>
    <xf numFmtId="0" fontId="25" fillId="0" borderId="0" xfId="0" applyFont="1"/>
    <xf numFmtId="0" fontId="26" fillId="0" borderId="0" xfId="0" applyFont="1"/>
    <xf numFmtId="0" fontId="0" fillId="0" borderId="0" xfId="0" applyAlignment="1">
      <alignment horizontal="right"/>
    </xf>
    <xf numFmtId="0" fontId="21" fillId="2" borderId="60" xfId="0" applyFont="1" applyFill="1" applyBorder="1" applyAlignment="1">
      <alignment readingOrder="1"/>
    </xf>
    <xf numFmtId="0" fontId="20" fillId="2" borderId="60" xfId="0" applyFont="1" applyFill="1" applyBorder="1" applyAlignment="1">
      <alignment readingOrder="1"/>
    </xf>
    <xf numFmtId="0" fontId="0" fillId="2" borderId="0" xfId="0" applyFill="1" applyAlignment="1">
      <alignment horizontal="center" vertical="center"/>
    </xf>
    <xf numFmtId="0" fontId="0" fillId="2" borderId="60" xfId="0" applyFill="1" applyBorder="1"/>
    <xf numFmtId="0" fontId="3" fillId="4" borderId="51" xfId="0" applyFont="1" applyFill="1" applyBorder="1" applyAlignment="1">
      <alignment horizontal="center" vertical="center"/>
    </xf>
    <xf numFmtId="0" fontId="3" fillId="11" borderId="2" xfId="0" applyFont="1" applyFill="1" applyBorder="1" applyAlignment="1">
      <alignment horizontal="center" vertical="center"/>
    </xf>
    <xf numFmtId="0" fontId="3" fillId="11" borderId="51" xfId="0" applyFont="1" applyFill="1" applyBorder="1" applyAlignment="1">
      <alignment horizontal="center" vertical="center"/>
    </xf>
    <xf numFmtId="0" fontId="2" fillId="0" borderId="51" xfId="0" applyFont="1" applyBorder="1" applyAlignment="1">
      <alignment horizontal="center" vertical="center"/>
    </xf>
    <xf numFmtId="0" fontId="2" fillId="0" borderId="51" xfId="0" applyFont="1" applyBorder="1" applyAlignment="1">
      <alignment horizontal="center" vertical="center" wrapText="1"/>
    </xf>
    <xf numFmtId="0" fontId="3" fillId="0" borderId="51" xfId="0" applyFont="1" applyBorder="1" applyAlignment="1">
      <alignment horizontal="center" vertical="center"/>
    </xf>
    <xf numFmtId="0" fontId="4" fillId="0" borderId="0" xfId="0" applyFont="1" applyAlignment="1">
      <alignment horizontal="left"/>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xf>
    <xf numFmtId="0" fontId="2" fillId="5" borderId="0" xfId="0" applyFont="1" applyFill="1" applyAlignment="1">
      <alignment horizontal="center" vertical="center"/>
    </xf>
    <xf numFmtId="0" fontId="2" fillId="5" borderId="17" xfId="0" applyFont="1" applyFill="1" applyBorder="1" applyAlignment="1">
      <alignment horizontal="center" vertical="center"/>
    </xf>
    <xf numFmtId="0" fontId="2" fillId="6" borderId="15" xfId="0" applyFont="1" applyFill="1" applyBorder="1" applyAlignment="1">
      <alignment horizontal="center" vertical="center" wrapText="1"/>
    </xf>
    <xf numFmtId="0" fontId="2" fillId="6" borderId="0" xfId="0" applyFont="1" applyFill="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7" borderId="19" xfId="0" applyFont="1" applyFill="1" applyBorder="1" applyAlignment="1">
      <alignment horizontal="center" vertical="center" wrapText="1"/>
    </xf>
    <xf numFmtId="0" fontId="2" fillId="7" borderId="0" xfId="0" applyFont="1" applyFill="1" applyAlignment="1">
      <alignment horizontal="center" vertical="center"/>
    </xf>
    <xf numFmtId="0" fontId="2" fillId="7" borderId="16" xfId="0" applyFont="1" applyFill="1" applyBorder="1" applyAlignment="1">
      <alignment horizontal="center" vertical="center"/>
    </xf>
    <xf numFmtId="0" fontId="2" fillId="7" borderId="20"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6" borderId="20"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10" borderId="51" xfId="0" applyFont="1" applyFill="1" applyBorder="1" applyAlignment="1">
      <alignment horizontal="center" vertical="center"/>
    </xf>
    <xf numFmtId="0" fontId="3" fillId="11" borderId="52" xfId="0" applyFont="1" applyFill="1" applyBorder="1" applyAlignment="1">
      <alignment horizontal="center" vertical="center"/>
    </xf>
    <xf numFmtId="0" fontId="3" fillId="12" borderId="51" xfId="0" applyFont="1" applyFill="1" applyBorder="1" applyAlignment="1">
      <alignment horizontal="center" vertical="center"/>
    </xf>
    <xf numFmtId="0" fontId="4" fillId="0" borderId="58" xfId="0" applyFont="1" applyBorder="1" applyAlignment="1">
      <alignment horizontal="center" vertical="center" wrapText="1"/>
    </xf>
    <xf numFmtId="0" fontId="4" fillId="0" borderId="51" xfId="0" applyFont="1" applyBorder="1" applyAlignment="1">
      <alignment horizontal="center" vertical="center" wrapText="1"/>
    </xf>
    <xf numFmtId="0" fontId="3" fillId="3" borderId="51" xfId="0" applyFont="1" applyFill="1" applyBorder="1" applyAlignment="1">
      <alignment horizontal="center" vertical="center"/>
    </xf>
    <xf numFmtId="0" fontId="3" fillId="4" borderId="5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9" borderId="52"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51" xfId="0" applyFont="1" applyFill="1" applyBorder="1" applyAlignment="1">
      <alignment horizontal="center" vertical="center"/>
    </xf>
    <xf numFmtId="0" fontId="3" fillId="5" borderId="51" xfId="0" applyFont="1" applyFill="1" applyBorder="1" applyAlignment="1">
      <alignment horizontal="center" vertical="center"/>
    </xf>
    <xf numFmtId="0" fontId="3" fillId="10" borderId="52"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2" xfId="0" applyFont="1" applyFill="1" applyBorder="1" applyAlignment="1">
      <alignment horizontal="center" vertical="center"/>
    </xf>
    <xf numFmtId="0" fontId="4" fillId="0" borderId="58" xfId="0" applyFont="1" applyBorder="1" applyAlignment="1">
      <alignment horizontal="center" vertical="center"/>
    </xf>
    <xf numFmtId="0" fontId="3" fillId="3" borderId="52" xfId="0" applyFont="1" applyFill="1" applyBorder="1" applyAlignment="1">
      <alignment horizontal="center" vertical="center"/>
    </xf>
    <xf numFmtId="0" fontId="3" fillId="3" borderId="57" xfId="0" applyFont="1" applyFill="1" applyBorder="1" applyAlignment="1">
      <alignment horizontal="center" vertical="center"/>
    </xf>
    <xf numFmtId="0" fontId="3" fillId="10" borderId="57" xfId="0" applyFont="1" applyFill="1" applyBorder="1" applyAlignment="1">
      <alignment horizontal="center" vertical="center"/>
    </xf>
    <xf numFmtId="0" fontId="3" fillId="10" borderId="26" xfId="0" applyFont="1" applyFill="1" applyBorder="1" applyAlignment="1">
      <alignment horizontal="center" vertical="center"/>
    </xf>
    <xf numFmtId="0" fontId="3" fillId="3" borderId="2" xfId="0" applyFont="1" applyFill="1" applyBorder="1" applyAlignment="1">
      <alignment horizontal="center" vertical="center"/>
    </xf>
    <xf numFmtId="0" fontId="4" fillId="0" borderId="13"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51" xfId="0" applyFont="1" applyBorder="1" applyAlignment="1">
      <alignment horizontal="center" vertical="center"/>
    </xf>
    <xf numFmtId="0" fontId="4" fillId="0" borderId="52"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55" xfId="0" applyFont="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2" fillId="0" borderId="62" xfId="0" applyFont="1" applyBorder="1" applyAlignment="1">
      <alignment horizontal="center" vertical="center" textRotation="90"/>
    </xf>
    <xf numFmtId="0" fontId="18" fillId="0" borderId="62" xfId="0" applyFont="1" applyBorder="1" applyAlignment="1">
      <alignment horizontal="center" vertical="center" textRotation="90"/>
    </xf>
    <xf numFmtId="0" fontId="2" fillId="0" borderId="0" xfId="0" applyFont="1" applyAlignment="1">
      <alignment horizontal="center" vertical="center" textRotation="90"/>
    </xf>
    <xf numFmtId="0" fontId="18" fillId="0" borderId="61" xfId="0" applyFont="1" applyBorder="1" applyAlignment="1">
      <alignment horizontal="center" vertical="center" textRotation="90"/>
    </xf>
    <xf numFmtId="0" fontId="18" fillId="0" borderId="0" xfId="0" applyFont="1" applyAlignment="1">
      <alignment horizontal="center" textRotation="90"/>
    </xf>
    <xf numFmtId="0" fontId="18" fillId="0" borderId="0" xfId="0" applyFont="1" applyAlignment="1">
      <alignment horizontal="center" vertical="center" textRotation="90"/>
    </xf>
    <xf numFmtId="0" fontId="2" fillId="0" borderId="62" xfId="0" applyFont="1" applyBorder="1" applyAlignment="1">
      <alignment horizontal="center" vertical="center" textRotation="90" wrapText="1"/>
    </xf>
    <xf numFmtId="0" fontId="2" fillId="0" borderId="63" xfId="0" applyFont="1" applyBorder="1" applyAlignment="1">
      <alignment horizontal="center" vertical="center" textRotation="90" wrapText="1"/>
    </xf>
    <xf numFmtId="0" fontId="1" fillId="0" borderId="18" xfId="0" applyFont="1" applyBorder="1" applyAlignment="1">
      <alignment horizontal="center"/>
    </xf>
    <xf numFmtId="0" fontId="13" fillId="20" borderId="13" xfId="0" applyFont="1" applyFill="1" applyBorder="1" applyAlignment="1">
      <alignment horizontal="center" vertical="center"/>
    </xf>
    <xf numFmtId="0" fontId="14" fillId="0" borderId="21" xfId="0" applyFont="1" applyBorder="1" applyAlignment="1">
      <alignment horizontal="center" vertical="center"/>
    </xf>
    <xf numFmtId="0" fontId="14" fillId="0" borderId="33" xfId="0" applyFont="1" applyBorder="1" applyAlignment="1">
      <alignment horizontal="center" vertical="center"/>
    </xf>
    <xf numFmtId="0" fontId="3" fillId="0" borderId="38" xfId="0" applyFont="1" applyBorder="1" applyAlignment="1">
      <alignment horizontal="center"/>
    </xf>
    <xf numFmtId="0" fontId="17" fillId="0" borderId="21" xfId="0" applyFont="1" applyBorder="1" applyAlignment="1">
      <alignment horizontal="center" vertical="center"/>
    </xf>
    <xf numFmtId="0" fontId="17" fillId="0" borderId="37" xfId="0" applyFont="1" applyBorder="1" applyAlignment="1">
      <alignment horizontal="center" vertical="center"/>
    </xf>
    <xf numFmtId="0" fontId="17" fillId="0" borderId="33" xfId="0" applyFont="1" applyBorder="1" applyAlignment="1">
      <alignment horizontal="center" vertical="center"/>
    </xf>
    <xf numFmtId="0" fontId="2" fillId="0" borderId="0" xfId="0" applyFont="1" applyAlignment="1">
      <alignment horizontal="center"/>
    </xf>
    <xf numFmtId="0" fontId="11" fillId="0" borderId="21" xfId="0" applyFont="1" applyBorder="1" applyAlignment="1">
      <alignment horizontal="center" vertical="center"/>
    </xf>
    <xf numFmtId="0" fontId="11"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21" xfId="0" applyFont="1" applyBorder="1" applyAlignment="1">
      <alignment horizontal="center" vertical="center"/>
    </xf>
    <xf numFmtId="0" fontId="12" fillId="0" borderId="33" xfId="0" applyFont="1" applyBorder="1" applyAlignment="1">
      <alignment horizontal="center" vertical="center"/>
    </xf>
    <xf numFmtId="0" fontId="16" fillId="0" borderId="30" xfId="0" applyFont="1" applyBorder="1" applyAlignment="1">
      <alignment horizontal="center" vertical="center"/>
    </xf>
    <xf numFmtId="0" fontId="6" fillId="0" borderId="58" xfId="0" applyFont="1" applyBorder="1" applyAlignment="1">
      <alignment horizontal="center" vertical="center"/>
    </xf>
    <xf numFmtId="0" fontId="6" fillId="0" borderId="51" xfId="0" applyFont="1" applyBorder="1" applyAlignment="1">
      <alignment horizontal="center" vertical="center"/>
    </xf>
    <xf numFmtId="0" fontId="6" fillId="0" borderId="55" xfId="0" applyFont="1" applyBorder="1" applyAlignment="1">
      <alignment horizontal="center" vertical="center"/>
    </xf>
    <xf numFmtId="0" fontId="0" fillId="9" borderId="0" xfId="0" applyFill="1" applyAlignment="1">
      <alignment horizontal="center" vertical="center"/>
    </xf>
    <xf numFmtId="0" fontId="0" fillId="0" borderId="0" xfId="0" applyAlignment="1">
      <alignment horizontal="center" vertical="center"/>
    </xf>
    <xf numFmtId="0" fontId="3" fillId="3" borderId="0" xfId="0" applyFont="1" applyFill="1" applyAlignment="1">
      <alignment horizontal="center" vertical="center"/>
    </xf>
    <xf numFmtId="0" fontId="3" fillId="4" borderId="53" xfId="0" applyFont="1" applyFill="1" applyBorder="1" applyAlignment="1">
      <alignment horizontal="center" vertical="center"/>
    </xf>
    <xf numFmtId="0" fontId="3" fillId="4" borderId="36" xfId="0" applyFont="1" applyFill="1" applyBorder="1" applyAlignment="1">
      <alignment horizontal="center" vertical="center"/>
    </xf>
    <xf numFmtId="0" fontId="3" fillId="4" borderId="40" xfId="0" applyFont="1" applyFill="1" applyBorder="1" applyAlignment="1">
      <alignment horizontal="center" vertical="center"/>
    </xf>
    <xf numFmtId="0" fontId="3" fillId="3" borderId="53"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40" xfId="0" applyFont="1" applyFill="1" applyBorder="1" applyAlignment="1">
      <alignment horizontal="center" vertical="center"/>
    </xf>
    <xf numFmtId="0" fontId="3" fillId="8" borderId="53" xfId="0" applyFont="1" applyFill="1" applyBorder="1" applyAlignment="1">
      <alignment horizontal="center" vertical="center"/>
    </xf>
    <xf numFmtId="0" fontId="3" fillId="8" borderId="36" xfId="0" applyFont="1" applyFill="1" applyBorder="1" applyAlignment="1">
      <alignment horizontal="center" vertical="center"/>
    </xf>
    <xf numFmtId="0" fontId="0" fillId="0" borderId="24" xfId="0" applyBorder="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C0DA"/>
      <color rgb="FFDDD9C4"/>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'Total count'!$J$10</c:f>
              <c:strCache>
                <c:ptCount val="1"/>
                <c:pt idx="0">
                  <c:v>Full-Time (FT)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count'!$J$11:$J$13</c:f>
              <c:numCache>
                <c:formatCode>General</c:formatCode>
                <c:ptCount val="3"/>
                <c:pt idx="0">
                  <c:v>21</c:v>
                </c:pt>
                <c:pt idx="1">
                  <c:v>15</c:v>
                </c:pt>
                <c:pt idx="2">
                  <c:v>4</c:v>
                </c:pt>
              </c:numCache>
            </c:numRef>
          </c:val>
          <c:extLst>
            <c:ext xmlns:c16="http://schemas.microsoft.com/office/drawing/2014/chart" uri="{C3380CC4-5D6E-409C-BE32-E72D297353CC}">
              <c16:uniqueId val="{00000000-8FC4-4E60-8CDE-5978FD9C07D5}"/>
            </c:ext>
          </c:extLst>
        </c:ser>
        <c:ser>
          <c:idx val="1"/>
          <c:order val="1"/>
          <c:tx>
            <c:strRef>
              <c:f>'Total count'!$K$10</c:f>
              <c:strCache>
                <c:ptCount val="1"/>
                <c:pt idx="0">
                  <c:v>Contractors (Cont)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count'!$K$11:$K$13</c:f>
              <c:numCache>
                <c:formatCode>General</c:formatCode>
                <c:ptCount val="3"/>
                <c:pt idx="0">
                  <c:v>28</c:v>
                </c:pt>
                <c:pt idx="1">
                  <c:v>10</c:v>
                </c:pt>
                <c:pt idx="2">
                  <c:v>0</c:v>
                </c:pt>
              </c:numCache>
            </c:numRef>
          </c:val>
          <c:extLst>
            <c:ext xmlns:c16="http://schemas.microsoft.com/office/drawing/2014/chart" uri="{C3380CC4-5D6E-409C-BE32-E72D297353CC}">
              <c16:uniqueId val="{00000002-8FC4-4E60-8CDE-5978FD9C07D5}"/>
            </c:ext>
          </c:extLst>
        </c:ser>
        <c:dLbls>
          <c:showLegendKey val="0"/>
          <c:showVal val="0"/>
          <c:showCatName val="0"/>
          <c:showSerName val="0"/>
          <c:showPercent val="0"/>
          <c:showBubbleSize val="0"/>
        </c:dLbls>
        <c:gapWidth val="182"/>
        <c:axId val="537634824"/>
        <c:axId val="615479304"/>
      </c:barChart>
      <c:catAx>
        <c:axId val="53763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79304"/>
        <c:crosses val="autoZero"/>
        <c:auto val="1"/>
        <c:lblAlgn val="ctr"/>
        <c:lblOffset val="100"/>
        <c:noMultiLvlLbl val="0"/>
      </c:catAx>
      <c:valAx>
        <c:axId val="615479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327025</xdr:colOff>
      <xdr:row>14</xdr:row>
      <xdr:rowOff>200025</xdr:rowOff>
    </xdr:from>
    <xdr:to>
      <xdr:col>13</xdr:col>
      <xdr:colOff>307975</xdr:colOff>
      <xdr:row>25</xdr:row>
      <xdr:rowOff>285750</xdr:rowOff>
    </xdr:to>
    <xdr:graphicFrame macro="">
      <xdr:nvGraphicFramePr>
        <xdr:cNvPr id="23" name="Chart 4">
          <a:extLst>
            <a:ext uri="{FF2B5EF4-FFF2-40B4-BE49-F238E27FC236}">
              <a16:creationId xmlns:a16="http://schemas.microsoft.com/office/drawing/2014/main" id="{D669FCDE-E452-7136-65F9-D3BF43D5A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161925</xdr:colOff>
      <xdr:row>1</xdr:row>
      <xdr:rowOff>133350</xdr:rowOff>
    </xdr:from>
    <xdr:to>
      <xdr:col>17</xdr:col>
      <xdr:colOff>342900</xdr:colOff>
      <xdr:row>26</xdr:row>
      <xdr:rowOff>133350</xdr:rowOff>
    </xdr:to>
    <mc:AlternateContent xmlns:mc="http://schemas.openxmlformats.org/markup-compatibility/2006" xmlns:a14="http://schemas.microsoft.com/office/drawing/2010/main">
      <mc:Choice Requires="a14">
        <xdr:graphicFrame macro="">
          <xdr:nvGraphicFramePr>
            <xdr:cNvPr id="5" name="Team">
              <a:extLst>
                <a:ext uri="{FF2B5EF4-FFF2-40B4-BE49-F238E27FC236}">
                  <a16:creationId xmlns:a16="http://schemas.microsoft.com/office/drawing/2014/main" id="{901A2646-1A8E-77F7-1943-22346E1CC765}"/>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353175" y="323850"/>
              <a:ext cx="4857750" cy="4762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20</xdr:col>
      <xdr:colOff>466725</xdr:colOff>
      <xdr:row>13</xdr:row>
      <xdr:rowOff>95250</xdr:rowOff>
    </xdr:from>
    <xdr:to>
      <xdr:col>23</xdr:col>
      <xdr:colOff>161925</xdr:colOff>
      <xdr:row>27</xdr:row>
      <xdr:rowOff>66675</xdr:rowOff>
    </xdr:to>
    <mc:AlternateContent xmlns:mc="http://schemas.openxmlformats.org/markup-compatibility/2006" xmlns:a14="http://schemas.microsoft.com/office/drawing/2010/main">
      <mc:Choice Requires="a14">
        <xdr:graphicFrame macro="">
          <xdr:nvGraphicFramePr>
            <xdr:cNvPr id="3" name="Employment">
              <a:extLst>
                <a:ext uri="{FF2B5EF4-FFF2-40B4-BE49-F238E27FC236}">
                  <a16:creationId xmlns:a16="http://schemas.microsoft.com/office/drawing/2014/main" id="{7F4B99B1-0A97-EF12-697B-659A76B8B87A}"/>
                </a:ext>
                <a:ext uri="{147F2762-F138-4A5C-976F-8EAC2B608ADB}">
                  <a16:predDERef xmlns:a16="http://schemas.microsoft.com/office/drawing/2014/main" pred="{901A2646-1A8E-77F7-1943-22346E1CC765}"/>
                </a:ext>
              </a:extLst>
            </xdr:cNvPr>
            <xdr:cNvGraphicFramePr/>
          </xdr:nvGraphicFramePr>
          <xdr:xfrm>
            <a:off x="0" y="0"/>
            <a:ext cx="0" cy="0"/>
          </xdr:xfrm>
          <a:graphic>
            <a:graphicData uri="http://schemas.microsoft.com/office/drawing/2010/slicer">
              <sle:slicer xmlns:sle="http://schemas.microsoft.com/office/drawing/2010/slicer" name="Employment"/>
            </a:graphicData>
          </a:graphic>
        </xdr:graphicFrame>
      </mc:Choice>
      <mc:Fallback xmlns="">
        <xdr:sp macro="" textlink="">
          <xdr:nvSpPr>
            <xdr:cNvPr id="0" name=""/>
            <xdr:cNvSpPr>
              <a:spLocks noTextEdit="1"/>
            </xdr:cNvSpPr>
          </xdr:nvSpPr>
          <xdr:spPr>
            <a:xfrm>
              <a:off x="13011150" y="25717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55066E2F-7C3F-E942-8868-DAE6F57D6CCD}">
    <nsvFilter filterId="{00000000-0001-0000-0000-000000000000}" ref="A1:K100" tableId="0">
      <columnFilter colId="3">
        <filter colId="3">
          <x:filters>
            <x:filter val="Contractor"/>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A4BFB8E9-AA91-9548-8C1F-A695FB2D0874}">
    <nsvFilter filterId="{723634B7-AEA8-EB4C-9140-879E0E3D0633}" ref="A1:N80" tableId="0">
      <columnFilter colId="3">
        <filter colId="3">
          <x:filters>
            <x:filter val="Contracto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Jagjit Singh" id="{CBFAAD39-2E2F-0841-993C-10AFFD81C1CC}" userId="jagjit.singh@on24.com" providerId="PeoplePicker"/>
  <person displayName="Kashan Babar" id="{504188AE-5B7E-4A88-AC1D-AB87C505B1B4}" userId="kashan.babar@on24.com" providerId="PeoplePicker"/>
  <person displayName="Jaimini Joshi" id="{3555D7C9-DDFC-7E4E-A79F-F676A77DA3C4}" userId="jaimini.joshi@on24.com" providerId="PeoplePicker"/>
  <person displayName="Kashan Babar" id="{7BDD6B96-59F8-494A-B556-5733C82ADC9E}" userId="S::kashan.babar@on24.com::1dfdcc9b-7524-4000-b102-324faeaddbad" providerId="AD"/>
  <person displayName="Jaimini Joshi" id="{F40F906F-E828-460C-88DC-43B3305F6B58}" userId="S::jaimini.joshi@on24.com::b58743ab-6529-4580-9ecd-5b60b686f51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0072222225" createdVersion="8" refreshedVersion="8" minRefreshableVersion="3" recordCount="80" xr:uid="{BD582F72-FFA5-4A81-986A-CFFE1FE8E419}">
  <cacheSource type="worksheet">
    <worksheetSource ref="A1:F80" sheet="Full Dev Org"/>
  </cacheSource>
  <cacheFields count="4">
    <cacheField name="Reports To" numFmtId="0">
      <sharedItems containsBlank="1"/>
    </cacheField>
    <cacheField name="Name" numFmtId="0">
      <sharedItems containsBlank="1"/>
    </cacheField>
    <cacheField name="Employment" numFmtId="0">
      <sharedItems containsBlank="1" count="3">
        <s v="Full Time"/>
        <s v="Contractor"/>
        <m/>
      </sharedItems>
    </cacheField>
    <cacheField name="Team" numFmtId="0">
      <sharedItems containsBlank="1" count="21">
        <s v="Salesforce"/>
        <s v="Vids/forums"/>
        <s v="AI/Analytics/Integrations"/>
        <s v="Analytics"/>
        <s v="Ehub"/>
        <s v="Cloud"/>
        <s v="Tools"/>
        <s v="GL"/>
        <s v="Vids"/>
        <s v="Contractor"/>
        <s v="Integrations"/>
        <s v="AI"/>
        <s v="AI/Integrations"/>
        <s v="Engg Support"/>
        <m/>
        <s v="EER/GL"/>
        <s v="Console/ES"/>
        <s v="EER"/>
        <s v="ES"/>
        <s v="Console"/>
        <s v="AppGen"/>
      </sharedItems>
    </cacheField>
  </cacheFields>
  <extLst>
    <ext xmlns:x14="http://schemas.microsoft.com/office/spreadsheetml/2009/9/main" uri="{725AE2AE-9491-48be-B2B4-4EB974FC3084}">
      <x14:pivotCacheDefinition pivotCacheId="412710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1421180554" createdVersion="8" refreshedVersion="8" minRefreshableVersion="3" recordCount="98" xr:uid="{0F3FDD07-06AD-497C-802D-E7AE6A4235CA}">
  <cacheSource type="worksheet">
    <worksheetSource ref="A1:E99" sheet="Full QA Org"/>
  </cacheSource>
  <cacheFields count="5">
    <cacheField name="Reports To" numFmtId="0">
      <sharedItems containsBlank="1"/>
    </cacheField>
    <cacheField name="Name" numFmtId="0">
      <sharedItems/>
    </cacheField>
    <cacheField name="Title" numFmtId="0">
      <sharedItems/>
    </cacheField>
    <cacheField name="Employment" numFmtId="0">
      <sharedItems count="2">
        <s v="Contractor"/>
        <s v="Full Time"/>
      </sharedItems>
    </cacheField>
    <cacheField name="Teams" numFmtId="0">
      <sharedItems count="29">
        <s v="Automation"/>
        <s v="Dir"/>
        <s v="P10Console"/>
        <s v="P10-Console Forums"/>
        <s v="P10Console Forums"/>
        <s v="P10Console/Forums/Vids-Vibbio"/>
        <s v="P10Console Forums-40% Vids-Vibbio-60% "/>
        <s v="P10Console Forums-60% Vids-Vibbio-40% "/>
        <s v="VC 10% &amp; Ehub 90%"/>
        <s v="Ehub"/>
        <s v="goLive"/>
        <s v="VC 20% &amp; GoLive 70%"/>
        <s v="VC 90% &amp; goLive 10%"/>
        <s v="VC 40% &amp; Ehub 60%"/>
        <s v="Presenter"/>
        <s v="Eng Tools"/>
        <s v="Integrations"/>
        <s v="Elite Admin"/>
        <s v="Analytics"/>
        <s v="Analytics -Segmentation"/>
        <s v="Elite Admin/AI"/>
        <s v="Elite Studio"/>
        <s v="Elite Studio/Forums"/>
        <s v="Elite Studio/Eng Tools"/>
        <s v="Analytics-Segmentation"/>
        <s v="Elite studio Forums"/>
        <s v="Eng Tools /ES Forums"/>
        <s v="Elite Admin/Elite Admin forums"/>
        <s v="A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Mahesh Kheny"/>
    <s v="Homer Santos"/>
    <x v="0"/>
    <x v="0"/>
  </r>
  <r>
    <s v="Homer Santos"/>
    <s v="James Gomez"/>
    <x v="0"/>
    <x v="0"/>
  </r>
  <r>
    <m/>
    <s v="Raj Kommera"/>
    <x v="0"/>
    <x v="0"/>
  </r>
  <r>
    <s v="Jaimini Joshi"/>
    <s v="Shishir Pokharel"/>
    <x v="0"/>
    <x v="1"/>
  </r>
  <r>
    <m/>
    <s v="Angel Palomino Heras"/>
    <x v="0"/>
    <x v="2"/>
  </r>
  <r>
    <m/>
    <s v="Alberto Perez Galiano"/>
    <x v="0"/>
    <x v="3"/>
  </r>
  <r>
    <m/>
    <s v="Nataraja Prabhakara"/>
    <x v="0"/>
    <x v="4"/>
  </r>
  <r>
    <m/>
    <s v="Pratap Kumar"/>
    <x v="0"/>
    <x v="5"/>
  </r>
  <r>
    <m/>
    <s v="Francisco Neto"/>
    <x v="0"/>
    <x v="6"/>
  </r>
  <r>
    <m/>
    <s v="Venubabu Innamuri"/>
    <x v="0"/>
    <x v="7"/>
  </r>
  <r>
    <s v="Shishir Pokharel"/>
    <s v="Alejandro Castera"/>
    <x v="1"/>
    <x v="8"/>
  </r>
  <r>
    <m/>
    <s v="C-Tasso Ruas"/>
    <x v="1"/>
    <x v="1"/>
  </r>
  <r>
    <m/>
    <s v="Cobin Dopkeen"/>
    <x v="0"/>
    <x v="1"/>
  </r>
  <r>
    <m/>
    <s v="C-Lucas Girard"/>
    <x v="1"/>
    <x v="1"/>
  </r>
  <r>
    <m/>
    <s v="c-Jesus Díaz"/>
    <x v="1"/>
    <x v="1"/>
  </r>
  <r>
    <m/>
    <s v="C-Ankit Jain"/>
    <x v="1"/>
    <x v="9"/>
  </r>
  <r>
    <m/>
    <s v="Felipe Ferreira"/>
    <x v="1"/>
    <x v="9"/>
  </r>
  <r>
    <m/>
    <s v="Randall Dryburgh"/>
    <x v="0"/>
    <x v="1"/>
  </r>
  <r>
    <m/>
    <s v="Cheng-Kai Huang"/>
    <x v="0"/>
    <x v="1"/>
  </r>
  <r>
    <s v="Cobin Dopkeen"/>
    <s v="c-Alejo Pereyra"/>
    <x v="1"/>
    <x v="1"/>
  </r>
  <r>
    <m/>
    <s v="Jose Viscasillas"/>
    <x v="0"/>
    <x v="1"/>
  </r>
  <r>
    <m/>
    <s v="Dan Homerick"/>
    <x v="0"/>
    <x v="1"/>
  </r>
  <r>
    <s v="Alberto"/>
    <s v="Mario Martinez"/>
    <x v="1"/>
    <x v="3"/>
  </r>
  <r>
    <m/>
    <s v="c-Ramesh Balak"/>
    <x v="1"/>
    <x v="3"/>
  </r>
  <r>
    <m/>
    <s v="C-Alejandro Varon"/>
    <x v="1"/>
    <x v="3"/>
  </r>
  <r>
    <m/>
    <s v="C-Juan Gomez"/>
    <x v="1"/>
    <x v="3"/>
  </r>
  <r>
    <m/>
    <s v="Pedro Hernandez"/>
    <x v="1"/>
    <x v="3"/>
  </r>
  <r>
    <s v="Nataraja Prabhakara"/>
    <s v="Juan Bernardez Pazo"/>
    <x v="0"/>
    <x v="4"/>
  </r>
  <r>
    <m/>
    <s v="C-Gregory Padron"/>
    <x v="1"/>
    <x v="4"/>
  </r>
  <r>
    <m/>
    <s v="C-Jonathan Perez"/>
    <x v="1"/>
    <x v="4"/>
  </r>
  <r>
    <m/>
    <s v="Mayur Khadke"/>
    <x v="0"/>
    <x v="4"/>
  </r>
  <r>
    <s v="Juan Bernardez Pazo"/>
    <s v="Jhon Nova"/>
    <x v="1"/>
    <x v="4"/>
  </r>
  <r>
    <s v="Angel Palomino Heras"/>
    <s v="C-Camilo Lopez"/>
    <x v="1"/>
    <x v="10"/>
  </r>
  <r>
    <m/>
    <s v="C-Rajesh Patel"/>
    <x v="1"/>
    <x v="10"/>
  </r>
  <r>
    <m/>
    <s v="C-Carlos Montoya"/>
    <x v="1"/>
    <x v="11"/>
  </r>
  <r>
    <m/>
    <s v="Parag Sanghvi"/>
    <x v="0"/>
    <x v="12"/>
  </r>
  <r>
    <m/>
    <s v="Alejandro Osorio"/>
    <x v="1"/>
    <x v="11"/>
  </r>
  <r>
    <m/>
    <s v="C-Harsh Panot"/>
    <x v="1"/>
    <x v="0"/>
  </r>
  <r>
    <m/>
    <s v="Javier Vargas"/>
    <x v="1"/>
    <x v="10"/>
  </r>
  <r>
    <m/>
    <s v="C-Oscar Ospina"/>
    <x v="1"/>
    <x v="10"/>
  </r>
  <r>
    <m/>
    <s v="Jairo Diaz"/>
    <x v="1"/>
    <x v="11"/>
  </r>
  <r>
    <m/>
    <s v="Ben Kinard"/>
    <x v="0"/>
    <x v="11"/>
  </r>
  <r>
    <s v="Pratap Kumar"/>
    <s v="Abdulla Rubaid"/>
    <x v="0"/>
    <x v="5"/>
  </r>
  <r>
    <m/>
    <s v="Praveen Gampala"/>
    <x v="0"/>
    <x v="5"/>
  </r>
  <r>
    <s v="Praveen Gampala"/>
    <s v="C-Marco Ruiz"/>
    <x v="1"/>
    <x v="5"/>
  </r>
  <r>
    <m/>
    <s v="Lee Lopez"/>
    <x v="1"/>
    <x v="5"/>
  </r>
  <r>
    <m/>
    <s v="Chengyang Liu"/>
    <x v="0"/>
    <x v="5"/>
  </r>
  <r>
    <m/>
    <s v="c-Jean Cristancho"/>
    <x v="1"/>
    <x v="5"/>
  </r>
  <r>
    <m/>
    <s v="C-Gopal Singh"/>
    <x v="1"/>
    <x v="5"/>
  </r>
  <r>
    <s v="Francisco Neto"/>
    <s v="Ammar Khan"/>
    <x v="0"/>
    <x v="6"/>
  </r>
  <r>
    <m/>
    <s v="c-Cesar Roque"/>
    <x v="1"/>
    <x v="13"/>
  </r>
  <r>
    <m/>
    <s v="Purna Sangem"/>
    <x v="0"/>
    <x v="13"/>
  </r>
  <r>
    <m/>
    <m/>
    <x v="2"/>
    <x v="14"/>
  </r>
  <r>
    <s v="Kamal"/>
    <s v="Rajesh Walter"/>
    <x v="0"/>
    <x v="14"/>
  </r>
  <r>
    <m/>
    <s v="Mayank Gupta"/>
    <x v="0"/>
    <x v="15"/>
  </r>
  <r>
    <m/>
    <s v="Piyush Punjak"/>
    <x v="0"/>
    <x v="16"/>
  </r>
  <r>
    <s v="Mayank Gupta"/>
    <s v="C-Rodrigo Laporte"/>
    <x v="1"/>
    <x v="17"/>
  </r>
  <r>
    <m/>
    <m/>
    <x v="2"/>
    <x v="14"/>
  </r>
  <r>
    <m/>
    <s v="Avi Roig"/>
    <x v="0"/>
    <x v="17"/>
  </r>
  <r>
    <m/>
    <s v="Shabna Shaik"/>
    <x v="0"/>
    <x v="17"/>
  </r>
  <r>
    <m/>
    <s v="C-Jonathan Arcila"/>
    <x v="1"/>
    <x v="17"/>
  </r>
  <r>
    <m/>
    <s v="Himanshu Patel"/>
    <x v="0"/>
    <x v="17"/>
  </r>
  <r>
    <m/>
    <s v="Luke Wage"/>
    <x v="0"/>
    <x v="17"/>
  </r>
  <r>
    <m/>
    <s v="c-Javier Stifano"/>
    <x v="1"/>
    <x v="7"/>
  </r>
  <r>
    <m/>
    <s v="c-Islam Mohammed"/>
    <x v="1"/>
    <x v="7"/>
  </r>
  <r>
    <m/>
    <s v="Shuang Wu"/>
    <x v="0"/>
    <x v="7"/>
  </r>
  <r>
    <s v="Piyush Punjak"/>
    <s v="Kaleem Khan"/>
    <x v="0"/>
    <x v="18"/>
  </r>
  <r>
    <m/>
    <s v="Nnouka Stephen"/>
    <x v="1"/>
    <x v="18"/>
  </r>
  <r>
    <m/>
    <s v="Ajay Pawar"/>
    <x v="0"/>
    <x v="19"/>
  </r>
  <r>
    <m/>
    <s v="Pritish Kumar Dwibedi"/>
    <x v="0"/>
    <x v="19"/>
  </r>
  <r>
    <m/>
    <s v="Rajesh Kumar"/>
    <x v="0"/>
    <x v="18"/>
  </r>
  <r>
    <m/>
    <s v="Diego Gonzalez"/>
    <x v="1"/>
    <x v="19"/>
  </r>
  <r>
    <m/>
    <s v="Jonathan Gil"/>
    <x v="1"/>
    <x v="18"/>
  </r>
  <r>
    <m/>
    <s v="Shwetha Nimmala"/>
    <x v="0"/>
    <x v="19"/>
  </r>
  <r>
    <m/>
    <s v="C-Santiago Mejia"/>
    <x v="1"/>
    <x v="19"/>
  </r>
  <r>
    <m/>
    <s v="Jay Sunga"/>
    <x v="0"/>
    <x v="18"/>
  </r>
  <r>
    <m/>
    <s v="Swati Shaw"/>
    <x v="0"/>
    <x v="20"/>
  </r>
  <r>
    <m/>
    <s v="Amber Mahajan"/>
    <x v="1"/>
    <x v="19"/>
  </r>
  <r>
    <m/>
    <s v="Juan David Aragon"/>
    <x v="1"/>
    <x v="19"/>
  </r>
  <r>
    <s v="Swati Shaw"/>
    <s v="Chandrakant Bagewadi"/>
    <x v="0"/>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Oleg Massakovskyy"/>
    <s v="C-Hari Prasad"/>
    <s v="Contractor – QA Automation"/>
    <x v="0"/>
    <x v="0"/>
  </r>
  <r>
    <m/>
    <s v="Rumana Ilyas"/>
    <s v="Director, QA"/>
    <x v="1"/>
    <x v="1"/>
  </r>
  <r>
    <m/>
    <s v="Jenny Wai Li"/>
    <s v="Senior Director, QA"/>
    <x v="1"/>
    <x v="1"/>
  </r>
  <r>
    <m/>
    <s v="Shefali Singh"/>
    <s v="Senior Director, QA"/>
    <x v="1"/>
    <x v="1"/>
  </r>
  <r>
    <m/>
    <s v="C-Divya Kag"/>
    <s v="Contractor – QA Automation"/>
    <x v="0"/>
    <x v="0"/>
  </r>
  <r>
    <m/>
    <s v="Ashish Oza"/>
    <s v="Contractor – Director, QA"/>
    <x v="0"/>
    <x v="1"/>
  </r>
  <r>
    <m/>
    <s v="C-Nikhil Bornare"/>
    <s v="Contractor – QA Engineer"/>
    <x v="0"/>
    <x v="0"/>
  </r>
  <r>
    <m/>
    <s v="C-Mohit Talera"/>
    <s v="Contractor – QA Automation"/>
    <x v="0"/>
    <x v="0"/>
  </r>
  <r>
    <m/>
    <s v="Manak Choyal"/>
    <s v="Contractor – Lead QA Automation"/>
    <x v="0"/>
    <x v="0"/>
  </r>
  <r>
    <m/>
    <s v="C-Chetan Kushwah"/>
    <s v="Contractor – QA Automation"/>
    <x v="0"/>
    <x v="0"/>
  </r>
  <r>
    <m/>
    <s v="Sumeet Patidar"/>
    <s v="Contractor – QA Automation"/>
    <x v="0"/>
    <x v="0"/>
  </r>
  <r>
    <m/>
    <s v="Vaishali Jaiswal"/>
    <s v="Contractor – QA Automation"/>
    <x v="0"/>
    <x v="0"/>
  </r>
  <r>
    <m/>
    <s v="C-Srijan Parihar"/>
    <s v="Contractor – QA"/>
    <x v="0"/>
    <x v="0"/>
  </r>
  <r>
    <m/>
    <s v="C-Kumar Saurabh"/>
    <s v="Contractor – QA Automation"/>
    <x v="0"/>
    <x v="0"/>
  </r>
  <r>
    <s v="Rumana Ilyas"/>
    <s v="C-Abhishek Tanwar"/>
    <s v="Contractor (QA)"/>
    <x v="0"/>
    <x v="2"/>
  </r>
  <r>
    <m/>
    <s v="C-Surbhi Porwal"/>
    <s v="QA Engineer (InfoHorizon)"/>
    <x v="0"/>
    <x v="3"/>
  </r>
  <r>
    <m/>
    <s v="Prakash Mandwal"/>
    <s v="Contractor – Sr. QA Engineer"/>
    <x v="0"/>
    <x v="2"/>
  </r>
  <r>
    <m/>
    <s v="C-Gargeya Borgaonkar"/>
    <s v="Contractor – QA Engineer"/>
    <x v="0"/>
    <x v="4"/>
  </r>
  <r>
    <m/>
    <s v="Manjeet Singh"/>
    <s v="Contractor – Sr. QA Engineer"/>
    <x v="0"/>
    <x v="5"/>
  </r>
  <r>
    <m/>
    <s v="Rahul Yadav"/>
    <s v="Contractor – QA Engineer"/>
    <x v="0"/>
    <x v="3"/>
  </r>
  <r>
    <m/>
    <s v="Priyanka Jain"/>
    <s v="Contractor – QA Engineer"/>
    <x v="0"/>
    <x v="2"/>
  </r>
  <r>
    <m/>
    <s v="Vimala Gandham"/>
    <s v="Senior Lead QA Engineer"/>
    <x v="1"/>
    <x v="2"/>
  </r>
  <r>
    <m/>
    <s v="C-Tushar Gaurawat"/>
    <s v="Contractor – QA Engineer"/>
    <x v="0"/>
    <x v="4"/>
  </r>
  <r>
    <m/>
    <s v="Alumelu Govindareddy"/>
    <s v="Senior QA Engineer"/>
    <x v="1"/>
    <x v="2"/>
  </r>
  <r>
    <m/>
    <s v="C-Mohini Verma"/>
    <s v="Contractor (QA Engineer)"/>
    <x v="0"/>
    <x v="2"/>
  </r>
  <r>
    <m/>
    <s v="C-Yashdeep Singh"/>
    <s v="Contractor (QA)"/>
    <x v="0"/>
    <x v="2"/>
  </r>
  <r>
    <m/>
    <s v="Abhijeet Joshi"/>
    <s v="Contractor – QA Engineer"/>
    <x v="0"/>
    <x v="6"/>
  </r>
  <r>
    <m/>
    <s v="Nurlan Shukurlu"/>
    <s v="Senior QA Engineer"/>
    <x v="1"/>
    <x v="4"/>
  </r>
  <r>
    <m/>
    <s v="C-Ashwijt Khaire"/>
    <s v="Contractor (QA)"/>
    <x v="0"/>
    <x v="4"/>
  </r>
  <r>
    <m/>
    <s v="C-Vedika Soni"/>
    <s v="Contractor (QA Engineer)"/>
    <x v="0"/>
    <x v="4"/>
  </r>
  <r>
    <m/>
    <s v="C-Sourabh Samediya"/>
    <s v="Contractor – QA Engineer"/>
    <x v="0"/>
    <x v="2"/>
  </r>
  <r>
    <m/>
    <s v="C-Ajay Pal"/>
    <s v="Contractor (QA)"/>
    <x v="0"/>
    <x v="2"/>
  </r>
  <r>
    <m/>
    <s v="Jyothi Mittapalli"/>
    <s v="Senior Lead QA Engineer"/>
    <x v="1"/>
    <x v="7"/>
  </r>
  <r>
    <s v="Jenny Wai Li"/>
    <s v="Shailja Singh"/>
    <s v="Senior QA Engineer"/>
    <x v="1"/>
    <x v="8"/>
  </r>
  <r>
    <m/>
    <s v="Mohit Sengar"/>
    <s v="Contractor – QA Engineer"/>
    <x v="0"/>
    <x v="9"/>
  </r>
  <r>
    <m/>
    <s v="C-Anshul Sahu"/>
    <s v="Contractor (QA)"/>
    <x v="0"/>
    <x v="10"/>
  </r>
  <r>
    <m/>
    <s v="Yan Sarnovskiy"/>
    <s v="Lead QA Engineer"/>
    <x v="1"/>
    <x v="9"/>
  </r>
  <r>
    <m/>
    <s v="C-Apurva Choudary"/>
    <s v="Contractor – QA Engineer"/>
    <x v="0"/>
    <x v="9"/>
  </r>
  <r>
    <m/>
    <s v="C-Shubhi Badole"/>
    <s v="Contractor – QA Engineer"/>
    <x v="0"/>
    <x v="9"/>
  </r>
  <r>
    <m/>
    <s v="C-Anurag Padiyar"/>
    <s v="Contractor (QA Engineer)"/>
    <x v="0"/>
    <x v="11"/>
  </r>
  <r>
    <m/>
    <s v="Keshav Jaiswal"/>
    <s v="Contractor – QA Engineer"/>
    <x v="0"/>
    <x v="9"/>
  </r>
  <r>
    <m/>
    <s v="C-Gourav Tomar"/>
    <s v="Contractor – QA Engineer"/>
    <x v="0"/>
    <x v="9"/>
  </r>
  <r>
    <m/>
    <s v="Syamala Bantupalli"/>
    <s v="Contractor – Sr. QA Engineer"/>
    <x v="0"/>
    <x v="10"/>
  </r>
  <r>
    <m/>
    <s v="Ajay Kumar Gupta"/>
    <s v="Contractor – QA Engineer"/>
    <x v="0"/>
    <x v="9"/>
  </r>
  <r>
    <m/>
    <s v="Yadav Singh Parmar"/>
    <s v="Contractor – Sr. QA Engineer"/>
    <x v="0"/>
    <x v="9"/>
  </r>
  <r>
    <m/>
    <s v="Sandeep Chaubey"/>
    <s v="Contractor – QA Lead"/>
    <x v="0"/>
    <x v="12"/>
  </r>
  <r>
    <m/>
    <s v="Nikhila Aradhyula"/>
    <s v="QA Engineer"/>
    <x v="1"/>
    <x v="10"/>
  </r>
  <r>
    <m/>
    <s v="C-Subhani Singh"/>
    <s v="Contractor – QA Engineer"/>
    <x v="0"/>
    <x v="13"/>
  </r>
  <r>
    <m/>
    <s v="Nikhil Bhatt"/>
    <s v="Contractor – QA Engineer"/>
    <x v="0"/>
    <x v="13"/>
  </r>
  <r>
    <m/>
    <s v="C-Megha Upadhayay"/>
    <s v="Contractor (QA)"/>
    <x v="0"/>
    <x v="10"/>
  </r>
  <r>
    <s v="Shefali Singh"/>
    <s v="c-Neeti Sharma"/>
    <s v="Contractor – QA Engineer"/>
    <x v="0"/>
    <x v="14"/>
  </r>
  <r>
    <m/>
    <s v="Pushpendra Tiwari"/>
    <s v="Contractor – QA Engineer"/>
    <x v="0"/>
    <x v="15"/>
  </r>
  <r>
    <m/>
    <s v="Chitralekha Dwivedi"/>
    <s v="Contractor – QA Engineer"/>
    <x v="0"/>
    <x v="16"/>
  </r>
  <r>
    <m/>
    <s v="C-Akshay Mandloi"/>
    <s v="Contractor – QA Engineer"/>
    <x v="0"/>
    <x v="14"/>
  </r>
  <r>
    <m/>
    <s v="C-Prerna Sharma"/>
    <s v="Contractor – QA Engineer"/>
    <x v="0"/>
    <x v="17"/>
  </r>
  <r>
    <m/>
    <s v="Gurmeet Singh"/>
    <s v="Contractor – QA Engineer"/>
    <x v="0"/>
    <x v="18"/>
  </r>
  <r>
    <m/>
    <s v="c-Akshay Patidar"/>
    <s v="Contractor (QA Engineer)"/>
    <x v="0"/>
    <x v="17"/>
  </r>
  <r>
    <m/>
    <s v="c-Mahima Malviya"/>
    <s v="Contractor (QA Engineer)"/>
    <x v="0"/>
    <x v="19"/>
  </r>
  <r>
    <m/>
    <s v="C-Rishabh Joshi"/>
    <s v="Contractor – QA Engineer"/>
    <x v="0"/>
    <x v="17"/>
  </r>
  <r>
    <m/>
    <s v="c-Bhushan Mahire"/>
    <s v="Contractor (QA Engineer)"/>
    <x v="0"/>
    <x v="17"/>
  </r>
  <r>
    <m/>
    <s v="Helly Tanna"/>
    <s v="Senior QA Engineer"/>
    <x v="1"/>
    <x v="20"/>
  </r>
  <r>
    <m/>
    <s v="Olga Grama"/>
    <s v="Lead QA Engineer"/>
    <x v="1"/>
    <x v="16"/>
  </r>
  <r>
    <m/>
    <s v="c-Ravi Singh"/>
    <s v="Contractor – QA Engineer"/>
    <x v="0"/>
    <x v="18"/>
  </r>
  <r>
    <m/>
    <s v="C-Kanika Dixit"/>
    <s v="Contractor – QA Engineer"/>
    <x v="0"/>
    <x v="16"/>
  </r>
  <r>
    <m/>
    <s v="Rohit Jha"/>
    <s v="Contractor – Sr. QA Engineer"/>
    <x v="0"/>
    <x v="17"/>
  </r>
  <r>
    <m/>
    <s v="C-Bhagwan Soni"/>
    <s v="Contractor – QA Engineer"/>
    <x v="0"/>
    <x v="17"/>
  </r>
  <r>
    <m/>
    <s v="Paul Zarzecki"/>
    <s v="QA Manager"/>
    <x v="1"/>
    <x v="21"/>
  </r>
  <r>
    <m/>
    <s v="Lilia Tulei"/>
    <s v="QA Engineer"/>
    <x v="1"/>
    <x v="18"/>
  </r>
  <r>
    <m/>
    <s v="Fong Xiong"/>
    <s v="Senior QA Engineer"/>
    <x v="1"/>
    <x v="22"/>
  </r>
  <r>
    <m/>
    <s v="C-Tarun Sakalley"/>
    <s v="QA Contractor"/>
    <x v="0"/>
    <x v="18"/>
  </r>
  <r>
    <m/>
    <s v="C-Shruti Joshi"/>
    <s v="Contractor (QA)"/>
    <x v="0"/>
    <x v="16"/>
  </r>
  <r>
    <m/>
    <s v="C-Shobhit Shrivas"/>
    <s v="Contractor – QA Engineer"/>
    <x v="0"/>
    <x v="17"/>
  </r>
  <r>
    <m/>
    <s v="C-Rishi Shrivastava"/>
    <s v="Contractor – QA Engineer"/>
    <x v="0"/>
    <x v="20"/>
  </r>
  <r>
    <m/>
    <s v="Pavel Preyomyshev"/>
    <s v="Lead QA Engineer"/>
    <x v="1"/>
    <x v="18"/>
  </r>
  <r>
    <m/>
    <s v="Marina Belova"/>
    <s v="Senior QA Engineer"/>
    <x v="1"/>
    <x v="23"/>
  </r>
  <r>
    <m/>
    <s v="C-Gourav Shukla"/>
    <s v="Contractor (QA)"/>
    <x v="0"/>
    <x v="24"/>
  </r>
  <r>
    <m/>
    <s v="C-Sumit Verma"/>
    <s v="Contractor (QA)"/>
    <x v="0"/>
    <x v="25"/>
  </r>
  <r>
    <m/>
    <s v="C-Roma Jain"/>
    <s v="Contractor (QA)"/>
    <x v="0"/>
    <x v="17"/>
  </r>
  <r>
    <m/>
    <s v="C-Priya Chouhan"/>
    <s v="Contractor – QA Engineer"/>
    <x v="0"/>
    <x v="26"/>
  </r>
  <r>
    <m/>
    <s v="C-Pooja Thakur"/>
    <s v="Contractor – QA Engineer"/>
    <x v="0"/>
    <x v="17"/>
  </r>
  <r>
    <m/>
    <s v="Abel Cruz"/>
    <s v="Senior QA Engineer"/>
    <x v="1"/>
    <x v="16"/>
  </r>
  <r>
    <m/>
    <s v="C-Mayank Khede"/>
    <s v="Contractor – QA Engineer"/>
    <x v="0"/>
    <x v="18"/>
  </r>
  <r>
    <m/>
    <s v="C-Shreya Raghuwanshi"/>
    <s v="Contractor – QA Engineer"/>
    <x v="0"/>
    <x v="18"/>
  </r>
  <r>
    <m/>
    <s v="C-Rahul Sharma"/>
    <s v="Contractor – QA Engineer"/>
    <x v="0"/>
    <x v="14"/>
  </r>
  <r>
    <m/>
    <s v="Preeti Sharma"/>
    <s v="Lead QA Engineer"/>
    <x v="1"/>
    <x v="27"/>
  </r>
  <r>
    <m/>
    <s v="C-Nikhil Sharma"/>
    <s v="Contractor – QA Engineer"/>
    <x v="0"/>
    <x v="14"/>
  </r>
  <r>
    <m/>
    <s v="C-Kushal Saitwal"/>
    <s v="Contractor – QA Engineer"/>
    <x v="0"/>
    <x v="16"/>
  </r>
  <r>
    <m/>
    <s v="C-Harsh Parasher"/>
    <s v="Contractor (QA)"/>
    <x v="0"/>
    <x v="18"/>
  </r>
  <r>
    <m/>
    <s v="Ajay Yadav"/>
    <s v="Contractor – QA Engineer"/>
    <x v="0"/>
    <x v="27"/>
  </r>
  <r>
    <m/>
    <s v="C-Shubham Kumawat"/>
    <s v="Contractor (QA)"/>
    <x v="0"/>
    <x v="14"/>
  </r>
  <r>
    <m/>
    <s v="C-Prajjawal Saxena"/>
    <s v="Contractor – QA Engineer"/>
    <x v="0"/>
    <x v="28"/>
  </r>
  <r>
    <m/>
    <s v="C-Aniruddh Dongariya"/>
    <s v="Contractor – QA Engineer"/>
    <x v="0"/>
    <x v="17"/>
  </r>
  <r>
    <m/>
    <s v="C-Shubham Chandra"/>
    <s v="Contractor – QA Engineer"/>
    <x v="0"/>
    <x v="14"/>
  </r>
  <r>
    <m/>
    <s v="Sanjeev Gupta"/>
    <s v="Contractor – QA Engineer"/>
    <x v="0"/>
    <x v="17"/>
  </r>
  <r>
    <m/>
    <s v="C-Divya Sharma"/>
    <s v="Contractor – QA Engineer"/>
    <x v="0"/>
    <x v="17"/>
  </r>
  <r>
    <m/>
    <s v="Jyothi Dasari"/>
    <s v="QA Lead"/>
    <x v="0"/>
    <x v="21"/>
  </r>
  <r>
    <m/>
    <s v="C-Rajkamal Karpenter"/>
    <s v="Contractor – QA Engineer"/>
    <x v="0"/>
    <x v="14"/>
  </r>
  <r>
    <m/>
    <s v="C-Ashish Kaslikar"/>
    <s v="Contractor – QA Engineer"/>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971C0-0CB2-4679-AF5B-399FD589BBFE}" name="PivotTable1" cacheId="6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8" firstHeaderRow="1" firstDataRow="2" firstDataCol="1"/>
  <pivotFields count="4">
    <pivotField compact="0" outline="0" showAll="0"/>
    <pivotField compact="0" outline="0" showAll="0"/>
    <pivotField axis="axisCol" dataField="1" compact="0" outline="0" showAll="0">
      <items count="4">
        <item h="1" x="1"/>
        <item x="0"/>
        <item h="1" x="2"/>
        <item t="default"/>
      </items>
    </pivotField>
    <pivotField axis="axisRow" compact="0" outline="0" showAll="0">
      <items count="22">
        <item x="11"/>
        <item x="2"/>
        <item x="12"/>
        <item x="3"/>
        <item x="20"/>
        <item h="1" x="5"/>
        <item x="19"/>
        <item h="1" x="16"/>
        <item h="1" x="9"/>
        <item x="17"/>
        <item x="15"/>
        <item x="4"/>
        <item h="1" x="13"/>
        <item x="18"/>
        <item x="7"/>
        <item h="1" x="10"/>
        <item h="1" x="0"/>
        <item x="6"/>
        <item h="1" x="8"/>
        <item x="1"/>
        <item h="1" x="14"/>
        <item t="default"/>
      </items>
    </pivotField>
  </pivotFields>
  <rowFields count="1">
    <field x="3"/>
  </rowFields>
  <rowItems count="14">
    <i>
      <x/>
    </i>
    <i>
      <x v="1"/>
    </i>
    <i>
      <x v="2"/>
    </i>
    <i>
      <x v="3"/>
    </i>
    <i>
      <x v="4"/>
    </i>
    <i>
      <x v="6"/>
    </i>
    <i>
      <x v="9"/>
    </i>
    <i>
      <x v="10"/>
    </i>
    <i>
      <x v="11"/>
    </i>
    <i>
      <x v="13"/>
    </i>
    <i>
      <x v="14"/>
    </i>
    <i>
      <x v="17"/>
    </i>
    <i>
      <x v="19"/>
    </i>
    <i t="grand">
      <x/>
    </i>
  </rowItems>
  <colFields count="1">
    <field x="2"/>
  </colFields>
  <colItems count="2">
    <i>
      <x v="1"/>
    </i>
    <i t="grand">
      <x/>
    </i>
  </colItems>
  <dataFields count="1">
    <dataField name="Count of Employ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D11C8-C34D-4815-9492-E2314A9380D5}" name="PivotTable2" cacheId="65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C39" firstHeaderRow="1" firstDataRow="2" firstDataCol="1"/>
  <pivotFields count="5">
    <pivotField compact="0" outline="0" showAll="0"/>
    <pivotField compact="0" outline="0" showAll="0"/>
    <pivotField compact="0" outline="0" showAll="0"/>
    <pivotField axis="axisCol" dataField="1" compact="0" outline="0" showAll="0">
      <items count="3">
        <item x="0"/>
        <item x="1"/>
        <item t="default"/>
      </items>
    </pivotField>
    <pivotField axis="axisRow" compact="0" outline="0" showAll="0">
      <items count="30">
        <item h="1" x="28"/>
        <item h="1" x="18"/>
        <item h="1" x="19"/>
        <item h="1" x="24"/>
        <item x="0"/>
        <item h="1" x="1"/>
        <item h="1" x="9"/>
        <item h="1" x="17"/>
        <item h="1" x="20"/>
        <item h="1" x="27"/>
        <item h="1" x="21"/>
        <item h="1" x="25"/>
        <item h="1" x="23"/>
        <item h="1" x="22"/>
        <item h="1" x="15"/>
        <item h="1" x="26"/>
        <item h="1" x="10"/>
        <item h="1" x="16"/>
        <item h="1" x="2"/>
        <item h="1" x="4"/>
        <item h="1" x="3"/>
        <item h="1" x="6"/>
        <item h="1" x="7"/>
        <item h="1" x="5"/>
        <item h="1" x="14"/>
        <item h="1" x="8"/>
        <item h="1" x="11"/>
        <item h="1" x="13"/>
        <item h="1" x="12"/>
        <item t="default"/>
      </items>
    </pivotField>
  </pivotFields>
  <rowFields count="1">
    <field x="4"/>
  </rowFields>
  <rowItems count="2">
    <i>
      <x v="4"/>
    </i>
    <i t="grand">
      <x/>
    </i>
  </rowItems>
  <colFields count="1">
    <field x="3"/>
  </colFields>
  <colItems count="2">
    <i>
      <x/>
    </i>
    <i t="grand">
      <x/>
    </i>
  </colItems>
  <dataFields count="1">
    <dataField name="Count of Employ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10A5DECF-445C-4812-B9D1-275501761FD4}" sourceName="Team">
  <pivotTables>
    <pivotTable tabId="9" name="PivotTable1"/>
  </pivotTables>
  <data>
    <tabular pivotCacheId="412710214">
      <items count="21">
        <i x="11" s="1"/>
        <i x="2" s="1"/>
        <i x="12" s="1"/>
        <i x="3" s="1"/>
        <i x="20" s="1"/>
        <i x="5"/>
        <i x="19" s="1"/>
        <i x="16"/>
        <i x="17" s="1"/>
        <i x="15" s="1"/>
        <i x="4" s="1"/>
        <i x="13"/>
        <i x="18" s="1"/>
        <i x="7" s="1"/>
        <i x="0"/>
        <i x="6" s="1"/>
        <i x="1" s="1"/>
        <i x="14"/>
        <i x="9" nd="1"/>
        <i x="10"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 xr10:uid="{71EF6795-F401-4BE5-831F-929E9FE32498}" sourceName="Employment">
  <pivotTables>
    <pivotTable tabId="9" name="PivotTable1"/>
  </pivotTables>
  <data>
    <tabular pivotCacheId="412710214">
      <items count="3">
        <i x="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7E0494ED-FA7E-40F9-AD9F-25C5647B8715}" cache="Slicer_Team" caption="Team" rowHeight="228600"/>
  <slicer name="Employment" xr10:uid="{381AF2D5-D06E-42FB-883B-34E55CF6BA1B}" cache="Slicer_Employment" caption="Employment"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7" dT="2026-02-18T05:42:21.43" personId="{F40F906F-E828-460C-88DC-43B3305F6B58}" id="{374283BC-0859-2643-908B-9E54BE035742}">
    <text>@Jagjit Singh @Kashan Babar jyothi should be full time. not contractor</text>
    <mentions>
      <mention mentionpersonId="{CBFAAD39-2E2F-0841-993C-10AFFD81C1CC}" mentionId="{4D7B2881-34A2-1E4C-8876-D49802EB573C}" startIndex="0" length="13"/>
      <mention mentionpersonId="{504188AE-5B7E-4A88-AC1D-AB87C505B1B4}" mentionId="{3DC8EDE7-9C4B-A845-9665-104759F7C78D}" startIndex="14" length="13"/>
    </mentions>
  </threadedComment>
  <threadedComment ref="B97" dT="2026-02-18T06:04:54.45" personId="{F40F906F-E828-460C-88DC-43B3305F6B58}" id="{02FC1ACA-A297-E340-B484-251E1B00CE8C}" parentId="{374283BC-0859-2643-908B-9E54BE035742}">
    <text>never mind.. wrong jyothi..</text>
  </threadedComment>
  <threadedComment ref="E103" dT="2026-02-19T07:12:17.61" personId="{F40F906F-E828-460C-88DC-43B3305F6B58}" id="{C902FD49-B230-FE4E-9A6C-427C4D884FFA}">
    <text>@Kashan Babar @Jagjit Singh this should be 20, same on the dashboard</text>
    <mentions>
      <mention mentionpersonId="{504188AE-5B7E-4A88-AC1D-AB87C505B1B4}" mentionId="{35632A94-F56C-1746-B2BE-20AB58FBE9EF}" startIndex="0" length="13"/>
      <mention mentionpersonId="{CBFAAD39-2E2F-0841-993C-10AFFD81C1CC}" mentionId="{14597CC4-91CD-7048-B819-A08B15A32BAE}" startIndex="14" length="13"/>
    </mentions>
  </threadedComment>
  <threadedComment ref="E103" dT="2026-02-19T07:35:47.14" personId="{F40F906F-E828-460C-88DC-43B3305F6B58}" id="{BFDE86BA-25CC-8545-BA6A-8F9E270D1758}" parentId="{C902FD49-B230-FE4E-9A6C-427C4D884FFA}">
    <text>nevermind.. I understand oleg is not counted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F51" dT="2025-12-15T01:29:42.36" personId="{F40F906F-E828-460C-88DC-43B3305F6B58}" id="{C23B908F-9175-4E54-A3AD-68403FCC385B}">
    <text>@Kashan Babar  changed the 3 guys from tools to engg support</text>
    <mentions>
      <mention mentionpersonId="{504188AE-5B7E-4A88-AC1D-AB87C505B1B4}" mentionId="{0EB0FFFF-E010-4728-A058-D4C7CEA9A6C5}" startIndex="0" length="13"/>
    </mentions>
  </threadedComment>
  <threadedComment ref="D78" dT="2026-02-18T01:52:20.10" personId="{F40F906F-E828-460C-88DC-43B3305F6B58}" id="{FE92824E-8E6E-BD4F-8A4C-4E4714BE3DDF}">
    <text>@Jagjit Singh @Kashan Babar this should be contractor</text>
    <mentions>
      <mention mentionpersonId="{CBFAAD39-2E2F-0841-993C-10AFFD81C1CC}" mentionId="{134764E7-DF84-8D48-AF1F-8C9447B4EFC5}" startIndex="0" length="13"/>
      <mention mentionpersonId="{504188AE-5B7E-4A88-AC1D-AB87C505B1B4}" mentionId="{FE78E015-DF5D-394D-B24F-753FF30B3090}" startIndex="14" length="13"/>
    </mentions>
  </threadedComment>
  <threadedComment ref="D78" dT="2026-02-18T22:17:46.58" personId="{7BDD6B96-59F8-494A-B556-5733C82ADC9E}" id="{7DCC8291-71E8-DC46-9929-896431574C67}" parentId="{FE92824E-8E6E-BD4F-8A4C-4E4714BE3DDF}">
    <text>@Jaimini Joshi fixed</text>
    <mentions>
      <mention mentionpersonId="{3555D7C9-DDFC-7E4E-A79F-F676A77DA3C4}" mentionId="{F0C8243A-B55F-2E4C-A30C-2E7DAD1A0E77}" startIndex="0" length="14"/>
    </mentions>
  </threadedComment>
  <threadedComment ref="K97" dT="2026-02-18T01:42:40.34" personId="{F40F906F-E828-460C-88DC-43B3305F6B58}" id="{CF5B7BD2-0E58-AC4F-9788-7D01C1425A3A}">
    <text>@Jagjit Singh nouka missing
cc @Kashan Babar</text>
    <mentions>
      <mention mentionpersonId="{CBFAAD39-2E2F-0841-993C-10AFFD81C1CC}" mentionId="{859D9BA9-6AE8-B147-9F66-27D1C9CCEAF6}" startIndex="0" length="13"/>
      <mention mentionpersonId="{504188AE-5B7E-4A88-AC1D-AB87C505B1B4}" mentionId="{32CEAC4D-A034-0E4E-BC95-907B270B3192}" startIndex="31" length="13"/>
    </mentions>
  </threadedComment>
  <threadedComment ref="K97" dT="2026-02-18T01:54:17.07" personId="{F40F906F-E828-460C-88DC-43B3305F6B58}" id="{BEFF7303-25D1-F344-9BF1-0C75E72880B2}" parentId="{CF5B7BD2-0E58-AC4F-9788-7D01C1425A3A}">
    <text>Felipe Ferreira missing vids team</text>
  </threadedComment>
  <threadedComment ref="K97" dT="2026-02-18T01:54:40.37" personId="{F40F906F-E828-460C-88DC-43B3305F6B58}" id="{BF32683B-41C8-D648-8634-74868A12071B}" parentId="{CF5B7BD2-0E58-AC4F-9788-7D01C1425A3A}">
    <text>Rajkamal Carpenter missing integrations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J13" dT="2026-02-19T07:21:24.58" personId="{F40F906F-E828-460C-88DC-43B3305F6B58}" id="{90120C7E-44A6-2446-8679-0E3B4BCB5D06}">
    <text>should be 37 - ankit jain contractor likely needs to be removed</text>
  </threadedComment>
  <threadedComment ref="J13" dT="2026-02-19T18:50:22.47" personId="{7BDD6B96-59F8-494A-B556-5733C82ADC9E}" id="{98E92C86-0653-D446-932D-1B7147644DC7}" parentId="{90120C7E-44A6-2446-8679-0E3B4BCB5D06}">
    <text>Per Shishir: This is LMS india team dev, we have used them as per project basis for IOS app screenshare for Vonage.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AA18C0-D5FA-450F-B81F-EE752155B83B}">
  <we:reference id="WA200005502" version="1.0.0.12" store="Omex" storeType="OMEX"/>
  <we:alternateReferences>
    <we:reference id="WA200005502" version="1.0.0.12"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D9D8-EF04-3B42-942D-5C6386846091}">
  <sheetPr>
    <tabColor rgb="FF00B050"/>
  </sheetPr>
  <dimension ref="A1:J10"/>
  <sheetViews>
    <sheetView topLeftCell="A2" workbookViewId="0">
      <selection activeCell="B2" sqref="B2:B6"/>
    </sheetView>
  </sheetViews>
  <sheetFormatPr defaultColWidth="11.42578125" defaultRowHeight="14.65"/>
  <cols>
    <col min="1" max="1" width="18" customWidth="1"/>
    <col min="2" max="2" width="32.28515625" customWidth="1"/>
    <col min="3" max="3" width="30" customWidth="1"/>
    <col min="4" max="4" width="38.140625" customWidth="1"/>
    <col min="5" max="5" width="26" customWidth="1"/>
    <col min="6" max="6" width="16.140625" customWidth="1"/>
    <col min="8" max="8" width="15.28515625" customWidth="1"/>
    <col min="9" max="9" width="15.140625" customWidth="1"/>
  </cols>
  <sheetData>
    <row r="1" spans="1:10" ht="20.65">
      <c r="A1" s="3" t="s">
        <v>0</v>
      </c>
      <c r="B1" s="4" t="s">
        <v>1</v>
      </c>
      <c r="C1" s="5" t="s">
        <v>2</v>
      </c>
      <c r="D1" s="17" t="s">
        <v>3</v>
      </c>
      <c r="E1" s="188" t="s">
        <v>4</v>
      </c>
      <c r="F1" s="188" t="s">
        <v>5</v>
      </c>
      <c r="H1" s="188" t="s">
        <v>6</v>
      </c>
      <c r="I1" s="188" t="s">
        <v>7</v>
      </c>
      <c r="J1" s="188" t="s">
        <v>8</v>
      </c>
    </row>
    <row r="2" spans="1:10" ht="20.65">
      <c r="A2" s="326" t="s">
        <v>9</v>
      </c>
      <c r="B2" s="185" t="s">
        <v>10</v>
      </c>
      <c r="C2" s="185" t="s">
        <v>11</v>
      </c>
      <c r="D2" s="185" t="s">
        <v>12</v>
      </c>
      <c r="E2" s="329" t="s">
        <v>13</v>
      </c>
      <c r="F2" s="329">
        <v>5</v>
      </c>
      <c r="H2" s="189">
        <v>8</v>
      </c>
      <c r="I2" s="189">
        <v>1</v>
      </c>
      <c r="J2" s="189">
        <v>9</v>
      </c>
    </row>
    <row r="3" spans="1:10" ht="20.65">
      <c r="A3" s="326"/>
      <c r="B3" s="185" t="s">
        <v>14</v>
      </c>
      <c r="C3" s="185" t="s">
        <v>11</v>
      </c>
      <c r="D3" s="185" t="s">
        <v>12</v>
      </c>
      <c r="E3" s="329"/>
      <c r="F3" s="329"/>
    </row>
    <row r="4" spans="1:10" ht="20.65">
      <c r="A4" s="326"/>
      <c r="B4" s="185" t="s">
        <v>15</v>
      </c>
      <c r="C4" s="185" t="s">
        <v>11</v>
      </c>
      <c r="D4" s="185" t="s">
        <v>12</v>
      </c>
      <c r="E4" s="329"/>
      <c r="F4" s="329"/>
    </row>
    <row r="5" spans="1:10" ht="20.65">
      <c r="A5" s="326"/>
      <c r="B5" s="185" t="s">
        <v>16</v>
      </c>
      <c r="C5" s="185" t="s">
        <v>11</v>
      </c>
      <c r="D5" s="185" t="s">
        <v>12</v>
      </c>
      <c r="E5" s="329"/>
      <c r="F5" s="329"/>
    </row>
    <row r="6" spans="1:10" ht="20.65">
      <c r="A6" s="326"/>
      <c r="B6" s="185" t="s">
        <v>17</v>
      </c>
      <c r="C6" s="185" t="s">
        <v>11</v>
      </c>
      <c r="D6" s="185" t="s">
        <v>18</v>
      </c>
      <c r="E6" s="329"/>
      <c r="F6" s="329"/>
    </row>
    <row r="7" spans="1:10" ht="20.65">
      <c r="A7" s="13" t="s">
        <v>10</v>
      </c>
      <c r="B7" s="13" t="s">
        <v>19</v>
      </c>
      <c r="C7" s="13" t="s">
        <v>11</v>
      </c>
      <c r="D7" s="13" t="s">
        <v>12</v>
      </c>
      <c r="E7" s="223" t="s">
        <v>20</v>
      </c>
      <c r="F7" s="223">
        <v>1</v>
      </c>
    </row>
    <row r="8" spans="1:10" ht="21" customHeight="1">
      <c r="A8" s="327" t="s">
        <v>17</v>
      </c>
      <c r="B8" s="14" t="s">
        <v>21</v>
      </c>
      <c r="C8" s="14" t="s">
        <v>11</v>
      </c>
      <c r="D8" s="14" t="s">
        <v>22</v>
      </c>
      <c r="E8" s="330" t="s">
        <v>23</v>
      </c>
      <c r="F8" s="329">
        <v>3</v>
      </c>
    </row>
    <row r="9" spans="1:10" ht="20.65">
      <c r="A9" s="328"/>
      <c r="B9" s="207" t="s">
        <v>24</v>
      </c>
      <c r="C9" s="207" t="s">
        <v>7</v>
      </c>
      <c r="D9" s="207" t="s">
        <v>22</v>
      </c>
      <c r="E9" s="329"/>
      <c r="F9" s="329"/>
    </row>
    <row r="10" spans="1:10" ht="45" customHeight="1">
      <c r="A10" s="328"/>
      <c r="B10" s="207" t="s">
        <v>25</v>
      </c>
      <c r="C10" s="207" t="s">
        <v>11</v>
      </c>
      <c r="D10" s="207" t="s">
        <v>22</v>
      </c>
      <c r="E10" s="329"/>
      <c r="F10" s="329"/>
    </row>
  </sheetData>
  <mergeCells count="6">
    <mergeCell ref="A2:A6"/>
    <mergeCell ref="A8:A10"/>
    <mergeCell ref="E2:E6"/>
    <mergeCell ref="F2:F6"/>
    <mergeCell ref="E8:E10"/>
    <mergeCell ref="F8: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Z109"/>
  <sheetViews>
    <sheetView topLeftCell="C26" zoomScaleNormal="100" workbookViewId="0">
      <selection activeCell="H1" sqref="H1"/>
    </sheetView>
  </sheetViews>
  <sheetFormatPr defaultColWidth="8.85546875" defaultRowHeight="20.65"/>
  <cols>
    <col min="1" max="1" width="25.7109375" style="40" customWidth="1"/>
    <col min="2" max="2" width="25" style="93" customWidth="1"/>
    <col min="3" max="3" width="38.85546875" style="1" bestFit="1" customWidth="1"/>
    <col min="4" max="4" width="25.7109375" style="1" customWidth="1"/>
    <col min="5" max="5" width="29.42578125" style="1" customWidth="1"/>
    <col min="6" max="6" width="61.7109375" style="41" customWidth="1"/>
    <col min="7" max="7" width="18.42578125" style="41" customWidth="1"/>
    <col min="8" max="8" width="8.42578125" style="41" customWidth="1"/>
    <col min="9" max="9" width="30.140625" style="47" customWidth="1"/>
    <col min="10" max="11" width="14" style="41" customWidth="1"/>
    <col min="12" max="12" width="8.85546875" style="41"/>
    <col min="13" max="13" width="21.42578125" style="41" customWidth="1"/>
    <col min="14" max="14" width="17.7109375" style="41" customWidth="1"/>
    <col min="15" max="15" width="21.140625" style="41" customWidth="1"/>
    <col min="16" max="16" width="8.85546875" style="41"/>
    <col min="17" max="17" width="94.85546875" style="41" customWidth="1"/>
    <col min="18" max="16384" width="8.85546875" style="41"/>
  </cols>
  <sheetData>
    <row r="1" spans="1:26" s="6" customFormat="1" ht="219.95" customHeight="1">
      <c r="A1" s="224" t="s">
        <v>0</v>
      </c>
      <c r="B1" s="224" t="s">
        <v>1</v>
      </c>
      <c r="C1" s="224" t="s">
        <v>26</v>
      </c>
      <c r="D1" s="224" t="s">
        <v>2</v>
      </c>
      <c r="E1" s="224" t="s">
        <v>27</v>
      </c>
      <c r="F1" s="224" t="s">
        <v>28</v>
      </c>
      <c r="G1" s="224" t="s">
        <v>29</v>
      </c>
      <c r="H1" s="225" t="s">
        <v>30</v>
      </c>
      <c r="I1" s="224" t="s">
        <v>31</v>
      </c>
      <c r="J1" s="224" t="s">
        <v>8</v>
      </c>
      <c r="K1" s="11"/>
      <c r="L1" s="146"/>
      <c r="M1" s="188" t="s">
        <v>27</v>
      </c>
      <c r="N1" s="188" t="s">
        <v>32</v>
      </c>
      <c r="O1" s="188" t="s">
        <v>33</v>
      </c>
    </row>
    <row r="2" spans="1:26" ht="21" customHeight="1">
      <c r="A2" s="348" t="s">
        <v>34</v>
      </c>
      <c r="B2" s="42" t="s">
        <v>35</v>
      </c>
      <c r="C2" s="94" t="s">
        <v>36</v>
      </c>
      <c r="D2" s="42" t="s">
        <v>7</v>
      </c>
      <c r="E2" s="98" t="s">
        <v>37</v>
      </c>
      <c r="F2" s="49" t="s">
        <v>38</v>
      </c>
      <c r="G2" s="51">
        <v>44725</v>
      </c>
      <c r="H2" s="50">
        <v>2</v>
      </c>
      <c r="I2" s="333" t="s">
        <v>39</v>
      </c>
      <c r="J2" s="329">
        <v>14</v>
      </c>
      <c r="K2" s="333"/>
      <c r="M2" s="226" t="s">
        <v>40</v>
      </c>
      <c r="N2" s="226"/>
      <c r="O2" s="226"/>
      <c r="Q2" s="332" t="s">
        <v>41</v>
      </c>
      <c r="R2" s="332"/>
      <c r="S2" s="332"/>
      <c r="T2" s="332"/>
      <c r="U2" s="332"/>
      <c r="V2" s="332"/>
      <c r="W2" s="332"/>
      <c r="X2" s="332"/>
      <c r="Y2" s="332"/>
      <c r="Z2" s="332"/>
    </row>
    <row r="3" spans="1:26" s="1" customFormat="1">
      <c r="A3" s="349"/>
      <c r="B3" s="227" t="s">
        <v>42</v>
      </c>
      <c r="C3" s="227" t="s">
        <v>43</v>
      </c>
      <c r="D3" s="227" t="s">
        <v>11</v>
      </c>
      <c r="E3" s="12" t="s">
        <v>44</v>
      </c>
      <c r="F3" s="27"/>
      <c r="G3" s="27"/>
      <c r="H3" s="27"/>
      <c r="I3" s="334"/>
      <c r="J3" s="329"/>
      <c r="K3" s="334"/>
      <c r="L3" s="18"/>
      <c r="M3" s="228" t="s">
        <v>45</v>
      </c>
      <c r="N3" s="228"/>
      <c r="O3" s="228"/>
      <c r="P3" s="18"/>
    </row>
    <row r="4" spans="1:26" s="1" customFormat="1">
      <c r="A4" s="349"/>
      <c r="B4" s="227" t="s">
        <v>46</v>
      </c>
      <c r="C4" s="227" t="s">
        <v>47</v>
      </c>
      <c r="D4" s="227" t="s">
        <v>11</v>
      </c>
      <c r="E4" s="12" t="s">
        <v>44</v>
      </c>
      <c r="F4" s="27"/>
      <c r="G4" s="27"/>
      <c r="H4" s="27"/>
      <c r="I4" s="334"/>
      <c r="J4" s="329"/>
      <c r="K4" s="334"/>
      <c r="M4" s="228" t="s">
        <v>48</v>
      </c>
      <c r="N4" s="228"/>
      <c r="O4" s="228"/>
    </row>
    <row r="5" spans="1:26" s="1" customFormat="1">
      <c r="A5" s="349"/>
      <c r="B5" s="227" t="s">
        <v>49</v>
      </c>
      <c r="C5" s="227" t="s">
        <v>47</v>
      </c>
      <c r="D5" s="227" t="s">
        <v>11</v>
      </c>
      <c r="E5" s="12" t="s">
        <v>44</v>
      </c>
      <c r="F5" s="27"/>
      <c r="G5" s="27"/>
      <c r="H5" s="27"/>
      <c r="I5" s="334"/>
      <c r="J5" s="329"/>
      <c r="K5" s="334"/>
      <c r="M5" s="228" t="s">
        <v>50</v>
      </c>
      <c r="N5" s="228">
        <v>1.5</v>
      </c>
      <c r="O5" s="228"/>
    </row>
    <row r="6" spans="1:26" ht="82.35">
      <c r="A6" s="349"/>
      <c r="B6" s="212" t="s">
        <v>51</v>
      </c>
      <c r="C6" s="185" t="s">
        <v>36</v>
      </c>
      <c r="D6" s="212" t="s">
        <v>7</v>
      </c>
      <c r="E6" s="99" t="s">
        <v>37</v>
      </c>
      <c r="F6" s="49" t="s">
        <v>52</v>
      </c>
      <c r="G6" s="51">
        <v>44435</v>
      </c>
      <c r="H6" s="50">
        <v>2</v>
      </c>
      <c r="I6" s="334"/>
      <c r="J6" s="329"/>
      <c r="K6" s="334"/>
      <c r="M6" s="226" t="s">
        <v>53</v>
      </c>
      <c r="N6" s="226">
        <v>1</v>
      </c>
      <c r="O6" s="226"/>
    </row>
    <row r="7" spans="1:26" ht="102.95">
      <c r="A7" s="349"/>
      <c r="B7" s="212" t="s">
        <v>54</v>
      </c>
      <c r="C7" s="185" t="s">
        <v>55</v>
      </c>
      <c r="D7" s="212" t="s">
        <v>7</v>
      </c>
      <c r="E7" s="99" t="s">
        <v>37</v>
      </c>
      <c r="F7" s="49" t="s">
        <v>56</v>
      </c>
      <c r="G7" s="51">
        <v>41275</v>
      </c>
      <c r="H7" s="50">
        <v>4</v>
      </c>
      <c r="I7" s="334"/>
      <c r="J7" s="329"/>
      <c r="K7" s="334"/>
      <c r="M7" s="226" t="s">
        <v>57</v>
      </c>
      <c r="N7" s="226"/>
      <c r="O7" s="226"/>
    </row>
    <row r="8" spans="1:26" ht="61.7">
      <c r="A8" s="349"/>
      <c r="B8" s="212" t="s">
        <v>58</v>
      </c>
      <c r="C8" s="185" t="s">
        <v>59</v>
      </c>
      <c r="D8" s="212" t="s">
        <v>7</v>
      </c>
      <c r="E8" s="99" t="s">
        <v>37</v>
      </c>
      <c r="F8" s="49" t="s">
        <v>60</v>
      </c>
      <c r="G8" s="51">
        <v>45915</v>
      </c>
      <c r="H8" s="50">
        <v>2</v>
      </c>
      <c r="I8" s="334"/>
      <c r="J8" s="329"/>
      <c r="K8" s="334"/>
      <c r="M8" s="226" t="s">
        <v>61</v>
      </c>
      <c r="N8" s="226">
        <v>0.5</v>
      </c>
      <c r="O8" s="226"/>
    </row>
    <row r="9" spans="1:26" ht="61.7">
      <c r="A9" s="349"/>
      <c r="B9" s="212" t="s">
        <v>62</v>
      </c>
      <c r="C9" s="185" t="s">
        <v>36</v>
      </c>
      <c r="D9" s="212" t="s">
        <v>7</v>
      </c>
      <c r="E9" s="99" t="s">
        <v>37</v>
      </c>
      <c r="F9" s="49" t="s">
        <v>63</v>
      </c>
      <c r="G9" s="51">
        <v>44700</v>
      </c>
      <c r="H9" s="50">
        <v>3</v>
      </c>
      <c r="I9" s="334"/>
      <c r="J9" s="329"/>
      <c r="K9" s="334"/>
      <c r="M9" s="226" t="s">
        <v>64</v>
      </c>
      <c r="N9" s="226"/>
      <c r="O9" s="226"/>
    </row>
    <row r="10" spans="1:26" ht="123.4">
      <c r="A10" s="349"/>
      <c r="B10" s="212" t="s">
        <v>65</v>
      </c>
      <c r="C10" s="229" t="s">
        <v>66</v>
      </c>
      <c r="D10" s="212" t="s">
        <v>7</v>
      </c>
      <c r="E10" s="99" t="s">
        <v>37</v>
      </c>
      <c r="F10" s="56" t="s">
        <v>67</v>
      </c>
      <c r="G10" s="51">
        <v>41313</v>
      </c>
      <c r="H10" s="50">
        <v>4</v>
      </c>
      <c r="I10" s="334"/>
      <c r="J10" s="329"/>
      <c r="K10" s="334"/>
      <c r="M10" s="226" t="s">
        <v>68</v>
      </c>
      <c r="N10" s="226"/>
      <c r="O10" s="226"/>
    </row>
    <row r="11" spans="1:26" ht="41.1">
      <c r="A11" s="349"/>
      <c r="B11" s="212" t="s">
        <v>69</v>
      </c>
      <c r="C11" s="185" t="s">
        <v>36</v>
      </c>
      <c r="D11" s="212" t="s">
        <v>7</v>
      </c>
      <c r="E11" s="99" t="s">
        <v>37</v>
      </c>
      <c r="F11" s="52" t="s">
        <v>70</v>
      </c>
      <c r="G11" s="51">
        <v>44348</v>
      </c>
      <c r="H11" s="50">
        <v>3</v>
      </c>
      <c r="I11" s="334"/>
      <c r="J11" s="329"/>
      <c r="K11" s="334"/>
      <c r="M11" s="226" t="s">
        <v>71</v>
      </c>
      <c r="N11" s="226"/>
      <c r="O11" s="226"/>
    </row>
    <row r="12" spans="1:26" ht="102.95">
      <c r="A12" s="349"/>
      <c r="B12" s="212" t="s">
        <v>72</v>
      </c>
      <c r="C12" s="185" t="s">
        <v>36</v>
      </c>
      <c r="D12" s="212" t="s">
        <v>7</v>
      </c>
      <c r="E12" s="99" t="s">
        <v>37</v>
      </c>
      <c r="F12" s="49" t="s">
        <v>73</v>
      </c>
      <c r="G12" s="49" t="s">
        <v>74</v>
      </c>
      <c r="H12" s="50">
        <v>4</v>
      </c>
      <c r="I12" s="334"/>
      <c r="J12" s="329"/>
      <c r="K12" s="334"/>
      <c r="M12" s="226" t="s">
        <v>37</v>
      </c>
      <c r="N12" s="226">
        <v>10</v>
      </c>
      <c r="O12" s="226"/>
    </row>
    <row r="13" spans="1:26" ht="61.7">
      <c r="A13" s="349"/>
      <c r="B13" s="212" t="s">
        <v>75</v>
      </c>
      <c r="C13" s="185" t="s">
        <v>36</v>
      </c>
      <c r="D13" s="212" t="s">
        <v>7</v>
      </c>
      <c r="E13" s="99" t="s">
        <v>37</v>
      </c>
      <c r="F13" s="52" t="s">
        <v>76</v>
      </c>
      <c r="G13" s="51">
        <v>43617</v>
      </c>
      <c r="H13" s="50">
        <v>3</v>
      </c>
      <c r="I13" s="334"/>
      <c r="J13" s="329"/>
      <c r="K13" s="334"/>
      <c r="M13" s="226" t="s">
        <v>77</v>
      </c>
      <c r="N13" s="226">
        <v>4</v>
      </c>
      <c r="O13" s="226"/>
    </row>
    <row r="14" spans="1:26" ht="61.7">
      <c r="A14" s="349"/>
      <c r="B14" s="212" t="s">
        <v>78</v>
      </c>
      <c r="C14" s="185" t="s">
        <v>79</v>
      </c>
      <c r="D14" s="212" t="s">
        <v>7</v>
      </c>
      <c r="E14" s="99" t="s">
        <v>37</v>
      </c>
      <c r="F14" s="52" t="s">
        <v>80</v>
      </c>
      <c r="G14" s="51">
        <v>45604</v>
      </c>
      <c r="H14" s="50">
        <v>2</v>
      </c>
      <c r="I14" s="334"/>
      <c r="J14" s="329"/>
      <c r="K14" s="334"/>
      <c r="M14" s="226" t="s">
        <v>81</v>
      </c>
      <c r="N14" s="226">
        <v>2</v>
      </c>
      <c r="O14" s="226"/>
    </row>
    <row r="15" spans="1:26" ht="41.1">
      <c r="A15" s="350"/>
      <c r="B15" s="43" t="s">
        <v>82</v>
      </c>
      <c r="C15" s="95" t="s">
        <v>36</v>
      </c>
      <c r="D15" s="43" t="s">
        <v>7</v>
      </c>
      <c r="E15" s="100" t="s">
        <v>37</v>
      </c>
      <c r="F15" s="52" t="s">
        <v>83</v>
      </c>
      <c r="G15" s="51">
        <v>44532</v>
      </c>
      <c r="H15" s="50">
        <v>3</v>
      </c>
      <c r="I15" s="335"/>
      <c r="J15" s="329"/>
      <c r="K15" s="335"/>
    </row>
    <row r="16" spans="1:26" ht="21" customHeight="1">
      <c r="A16" s="351" t="s">
        <v>42</v>
      </c>
      <c r="B16" s="44" t="s">
        <v>84</v>
      </c>
      <c r="C16" s="96" t="s">
        <v>85</v>
      </c>
      <c r="D16" s="44" t="s">
        <v>7</v>
      </c>
      <c r="E16" s="101" t="s">
        <v>86</v>
      </c>
      <c r="F16" s="61" t="s">
        <v>87</v>
      </c>
      <c r="G16" s="68">
        <v>44109</v>
      </c>
      <c r="H16" s="53">
        <v>4</v>
      </c>
      <c r="I16" s="336" t="s">
        <v>88</v>
      </c>
      <c r="J16" s="329">
        <v>19</v>
      </c>
      <c r="K16" s="336"/>
    </row>
    <row r="17" spans="1:11" ht="41.1">
      <c r="A17" s="352"/>
      <c r="B17" s="209" t="s">
        <v>89</v>
      </c>
      <c r="C17" s="210" t="s">
        <v>90</v>
      </c>
      <c r="D17" s="209" t="s">
        <v>7</v>
      </c>
      <c r="E17" s="7" t="s">
        <v>91</v>
      </c>
      <c r="F17" s="61" t="s">
        <v>92</v>
      </c>
      <c r="G17" s="70">
        <v>44508</v>
      </c>
      <c r="H17" s="53">
        <v>3</v>
      </c>
      <c r="I17" s="337"/>
      <c r="J17" s="329"/>
      <c r="K17" s="337"/>
    </row>
    <row r="18" spans="1:11" ht="61.7">
      <c r="A18" s="352"/>
      <c r="B18" s="209" t="s">
        <v>93</v>
      </c>
      <c r="C18" s="210" t="s">
        <v>94</v>
      </c>
      <c r="D18" s="209" t="s">
        <v>7</v>
      </c>
      <c r="E18" s="7" t="s">
        <v>86</v>
      </c>
      <c r="F18" s="61" t="s">
        <v>95</v>
      </c>
      <c r="G18" s="70">
        <v>41183</v>
      </c>
      <c r="H18" s="53">
        <v>4</v>
      </c>
      <c r="I18" s="337"/>
      <c r="J18" s="329"/>
      <c r="K18" s="337"/>
    </row>
    <row r="19" spans="1:11" ht="61.7">
      <c r="A19" s="352"/>
      <c r="B19" s="209" t="s">
        <v>96</v>
      </c>
      <c r="C19" s="210" t="s">
        <v>59</v>
      </c>
      <c r="D19" s="209" t="s">
        <v>7</v>
      </c>
      <c r="E19" s="7" t="s">
        <v>97</v>
      </c>
      <c r="F19" s="62" t="s">
        <v>98</v>
      </c>
      <c r="G19" s="70">
        <v>44508</v>
      </c>
      <c r="H19" s="53">
        <v>2</v>
      </c>
      <c r="I19" s="337"/>
      <c r="J19" s="329"/>
      <c r="K19" s="337"/>
    </row>
    <row r="20" spans="1:11" ht="82.35">
      <c r="A20" s="352"/>
      <c r="B20" s="209" t="s">
        <v>99</v>
      </c>
      <c r="C20" s="210" t="s">
        <v>94</v>
      </c>
      <c r="D20" s="209" t="s">
        <v>7</v>
      </c>
      <c r="E20" s="7" t="s">
        <v>100</v>
      </c>
      <c r="F20" s="62" t="s">
        <v>101</v>
      </c>
      <c r="G20" s="53" t="s">
        <v>102</v>
      </c>
      <c r="H20" s="53">
        <v>4</v>
      </c>
      <c r="I20" s="337"/>
      <c r="J20" s="329"/>
      <c r="K20" s="337"/>
    </row>
    <row r="21" spans="1:11" ht="61.7">
      <c r="A21" s="352"/>
      <c r="B21" s="209" t="s">
        <v>103</v>
      </c>
      <c r="C21" s="210" t="s">
        <v>59</v>
      </c>
      <c r="D21" s="209" t="s">
        <v>7</v>
      </c>
      <c r="E21" s="7" t="s">
        <v>91</v>
      </c>
      <c r="F21" s="66" t="s">
        <v>104</v>
      </c>
      <c r="G21" s="80">
        <v>40665</v>
      </c>
      <c r="H21" s="54">
        <v>4</v>
      </c>
      <c r="I21" s="337"/>
      <c r="J21" s="329"/>
      <c r="K21" s="337"/>
    </row>
    <row r="22" spans="1:11" ht="61.7">
      <c r="A22" s="352"/>
      <c r="B22" s="209" t="s">
        <v>105</v>
      </c>
      <c r="C22" s="210" t="s">
        <v>59</v>
      </c>
      <c r="D22" s="209" t="s">
        <v>7</v>
      </c>
      <c r="E22" s="230" t="s">
        <v>86</v>
      </c>
      <c r="F22" s="61" t="s">
        <v>106</v>
      </c>
      <c r="G22" s="68">
        <v>42064</v>
      </c>
      <c r="H22" s="53">
        <v>3</v>
      </c>
      <c r="I22" s="338"/>
      <c r="J22" s="329"/>
      <c r="K22" s="338"/>
    </row>
    <row r="23" spans="1:11" s="1" customFormat="1">
      <c r="A23" s="352"/>
      <c r="B23" s="210" t="s">
        <v>107</v>
      </c>
      <c r="C23" s="210" t="s">
        <v>108</v>
      </c>
      <c r="D23" s="210" t="s">
        <v>11</v>
      </c>
      <c r="E23" s="7" t="s">
        <v>86</v>
      </c>
      <c r="F23" s="38"/>
      <c r="G23" s="38"/>
      <c r="H23" s="30"/>
      <c r="I23" s="337"/>
      <c r="J23" s="329"/>
      <c r="K23" s="337"/>
    </row>
    <row r="24" spans="1:11" ht="61.7">
      <c r="A24" s="352"/>
      <c r="B24" s="209" t="s">
        <v>109</v>
      </c>
      <c r="C24" s="210" t="s">
        <v>59</v>
      </c>
      <c r="D24" s="209" t="s">
        <v>7</v>
      </c>
      <c r="E24" s="230" t="s">
        <v>97</v>
      </c>
      <c r="F24" s="61" t="s">
        <v>110</v>
      </c>
      <c r="G24" s="68">
        <v>44200</v>
      </c>
      <c r="H24" s="53">
        <v>4</v>
      </c>
      <c r="I24" s="338"/>
      <c r="J24" s="329"/>
      <c r="K24" s="338"/>
    </row>
    <row r="25" spans="1:11" s="1" customFormat="1">
      <c r="A25" s="352"/>
      <c r="B25" s="210" t="s">
        <v>111</v>
      </c>
      <c r="C25" s="210" t="s">
        <v>112</v>
      </c>
      <c r="D25" s="210" t="s">
        <v>11</v>
      </c>
      <c r="E25" s="7" t="s">
        <v>86</v>
      </c>
      <c r="F25" s="38"/>
      <c r="G25" s="38"/>
      <c r="H25" s="30"/>
      <c r="I25" s="337"/>
      <c r="J25" s="329"/>
      <c r="K25" s="337"/>
    </row>
    <row r="26" spans="1:11" ht="61.7">
      <c r="A26" s="352"/>
      <c r="B26" s="209" t="s">
        <v>113</v>
      </c>
      <c r="C26" s="210" t="s">
        <v>114</v>
      </c>
      <c r="D26" s="209" t="s">
        <v>7</v>
      </c>
      <c r="E26" s="230" t="s">
        <v>86</v>
      </c>
      <c r="F26" s="61" t="s">
        <v>115</v>
      </c>
      <c r="G26" s="68">
        <v>44341</v>
      </c>
      <c r="H26" s="53">
        <v>3</v>
      </c>
      <c r="I26" s="338"/>
      <c r="J26" s="329"/>
      <c r="K26" s="338"/>
    </row>
    <row r="27" spans="1:11" ht="41.1">
      <c r="A27" s="352"/>
      <c r="B27" s="209" t="s">
        <v>116</v>
      </c>
      <c r="C27" s="210" t="s">
        <v>85</v>
      </c>
      <c r="D27" s="209" t="s">
        <v>7</v>
      </c>
      <c r="E27" s="230" t="s">
        <v>86</v>
      </c>
      <c r="F27" s="61" t="s">
        <v>117</v>
      </c>
      <c r="G27" s="68">
        <v>44278</v>
      </c>
      <c r="H27" s="53">
        <v>3</v>
      </c>
      <c r="I27" s="338"/>
      <c r="J27" s="329"/>
      <c r="K27" s="338"/>
    </row>
    <row r="28" spans="1:11" ht="61.7">
      <c r="A28" s="352"/>
      <c r="B28" s="209" t="s">
        <v>118</v>
      </c>
      <c r="C28" s="210" t="s">
        <v>59</v>
      </c>
      <c r="D28" s="209" t="s">
        <v>7</v>
      </c>
      <c r="E28" s="230" t="s">
        <v>119</v>
      </c>
      <c r="F28" s="61" t="s">
        <v>120</v>
      </c>
      <c r="G28" s="68">
        <v>41386</v>
      </c>
      <c r="H28" s="53">
        <v>4</v>
      </c>
      <c r="I28" s="338"/>
      <c r="J28" s="329"/>
      <c r="K28" s="338"/>
    </row>
    <row r="29" spans="1:11" s="1" customFormat="1">
      <c r="A29" s="352"/>
      <c r="B29" s="210" t="s">
        <v>121</v>
      </c>
      <c r="C29" s="210" t="s">
        <v>112</v>
      </c>
      <c r="D29" s="210" t="s">
        <v>11</v>
      </c>
      <c r="E29" s="7" t="s">
        <v>97</v>
      </c>
      <c r="F29" s="38"/>
      <c r="G29" s="38"/>
      <c r="H29" s="30"/>
      <c r="I29" s="337"/>
      <c r="J29" s="329"/>
      <c r="K29" s="337"/>
    </row>
    <row r="30" spans="1:11" ht="41.1">
      <c r="A30" s="352"/>
      <c r="B30" s="209" t="s">
        <v>122</v>
      </c>
      <c r="C30" s="210" t="s">
        <v>85</v>
      </c>
      <c r="D30" s="209" t="s">
        <v>7</v>
      </c>
      <c r="E30" s="230" t="s">
        <v>97</v>
      </c>
      <c r="F30" s="61" t="s">
        <v>123</v>
      </c>
      <c r="G30" s="68">
        <v>45566</v>
      </c>
      <c r="H30" s="53">
        <v>2</v>
      </c>
      <c r="I30" s="338"/>
      <c r="J30" s="329"/>
      <c r="K30" s="338"/>
    </row>
    <row r="31" spans="1:11" ht="41.1">
      <c r="A31" s="352"/>
      <c r="B31" s="209" t="s">
        <v>124</v>
      </c>
      <c r="C31" s="210" t="s">
        <v>114</v>
      </c>
      <c r="D31" s="209" t="s">
        <v>7</v>
      </c>
      <c r="E31" s="230" t="s">
        <v>97</v>
      </c>
      <c r="F31" s="61" t="s">
        <v>125</v>
      </c>
      <c r="G31" s="68">
        <v>44237</v>
      </c>
      <c r="H31" s="53">
        <v>2</v>
      </c>
      <c r="I31" s="338"/>
      <c r="J31" s="329"/>
      <c r="K31" s="338"/>
    </row>
    <row r="32" spans="1:11" ht="61.7">
      <c r="A32" s="352"/>
      <c r="B32" s="209" t="s">
        <v>126</v>
      </c>
      <c r="C32" s="210" t="s">
        <v>59</v>
      </c>
      <c r="D32" s="209" t="s">
        <v>7</v>
      </c>
      <c r="E32" s="230" t="s">
        <v>86</v>
      </c>
      <c r="F32" s="61" t="s">
        <v>127</v>
      </c>
      <c r="G32" s="68">
        <v>43248</v>
      </c>
      <c r="H32" s="53">
        <v>4</v>
      </c>
      <c r="I32" s="338"/>
      <c r="J32" s="329"/>
      <c r="K32" s="338"/>
    </row>
    <row r="33" spans="1:11" ht="41.1">
      <c r="A33" s="352"/>
      <c r="B33" s="209" t="s">
        <v>128</v>
      </c>
      <c r="C33" s="210" t="s">
        <v>85</v>
      </c>
      <c r="D33" s="209" t="s">
        <v>7</v>
      </c>
      <c r="E33" s="230" t="s">
        <v>86</v>
      </c>
      <c r="F33" s="61" t="s">
        <v>123</v>
      </c>
      <c r="G33" s="68">
        <v>44237</v>
      </c>
      <c r="H33" s="53">
        <v>2</v>
      </c>
      <c r="I33" s="338"/>
      <c r="J33" s="329"/>
      <c r="K33" s="338"/>
    </row>
    <row r="34" spans="1:11" s="1" customFormat="1">
      <c r="A34" s="353"/>
      <c r="B34" s="8" t="s">
        <v>129</v>
      </c>
      <c r="C34" s="8" t="s">
        <v>108</v>
      </c>
      <c r="D34" s="8" t="s">
        <v>11</v>
      </c>
      <c r="E34" s="9" t="s">
        <v>130</v>
      </c>
      <c r="F34" s="67"/>
      <c r="G34" s="67"/>
      <c r="H34" s="31"/>
      <c r="I34" s="339"/>
      <c r="J34" s="329"/>
      <c r="K34" s="339"/>
    </row>
    <row r="35" spans="1:11" s="1" customFormat="1" ht="21" customHeight="1">
      <c r="A35" s="354" t="s">
        <v>46</v>
      </c>
      <c r="B35" s="10" t="s">
        <v>131</v>
      </c>
      <c r="C35" s="10" t="s">
        <v>112</v>
      </c>
      <c r="D35" s="118" t="s">
        <v>11</v>
      </c>
      <c r="E35" s="231" t="s">
        <v>132</v>
      </c>
      <c r="F35" s="32"/>
      <c r="G35" s="32"/>
      <c r="H35" s="32"/>
      <c r="I35" s="340" t="s">
        <v>133</v>
      </c>
      <c r="J35" s="331">
        <v>17</v>
      </c>
      <c r="K35" s="340"/>
    </row>
    <row r="36" spans="1:11" ht="150" customHeight="1">
      <c r="A36" s="355"/>
      <c r="B36" s="232" t="s">
        <v>134</v>
      </c>
      <c r="C36" s="233" t="s">
        <v>59</v>
      </c>
      <c r="D36" s="112" t="s">
        <v>7</v>
      </c>
      <c r="E36" s="113" t="s">
        <v>50</v>
      </c>
      <c r="F36" s="114" t="s">
        <v>135</v>
      </c>
      <c r="G36" s="115">
        <v>41813</v>
      </c>
      <c r="H36" s="117">
        <v>4</v>
      </c>
      <c r="I36" s="341"/>
      <c r="J36" s="331"/>
      <c r="K36" s="341"/>
    </row>
    <row r="37" spans="1:11" ht="105.75" customHeight="1">
      <c r="A37" s="355"/>
      <c r="B37" s="232" t="s">
        <v>136</v>
      </c>
      <c r="C37" s="233" t="s">
        <v>85</v>
      </c>
      <c r="D37" s="112" t="s">
        <v>7</v>
      </c>
      <c r="E37" s="113" t="s">
        <v>137</v>
      </c>
      <c r="F37" s="116" t="s">
        <v>138</v>
      </c>
      <c r="G37" s="115">
        <v>45078</v>
      </c>
      <c r="H37" s="117">
        <v>2</v>
      </c>
      <c r="I37" s="342"/>
      <c r="J37" s="331"/>
      <c r="K37" s="342"/>
    </row>
    <row r="38" spans="1:11" s="1" customFormat="1">
      <c r="A38" s="355"/>
      <c r="B38" s="234" t="s">
        <v>139</v>
      </c>
      <c r="C38" s="233" t="s">
        <v>140</v>
      </c>
      <c r="D38" s="113" t="s">
        <v>11</v>
      </c>
      <c r="E38" s="113" t="s">
        <v>50</v>
      </c>
      <c r="F38" s="124"/>
      <c r="G38" s="124"/>
      <c r="H38" s="32"/>
      <c r="I38" s="342"/>
      <c r="J38" s="331"/>
      <c r="K38" s="342"/>
    </row>
    <row r="39" spans="1:11" ht="123.4">
      <c r="A39" s="355"/>
      <c r="B39" s="232" t="s">
        <v>141</v>
      </c>
      <c r="C39" s="233" t="s">
        <v>59</v>
      </c>
      <c r="D39" s="112" t="s">
        <v>7</v>
      </c>
      <c r="E39" s="121" t="s">
        <v>142</v>
      </c>
      <c r="F39" s="116" t="s">
        <v>143</v>
      </c>
      <c r="G39" s="115">
        <v>44456</v>
      </c>
      <c r="H39" s="120">
        <v>4</v>
      </c>
      <c r="I39" s="341"/>
      <c r="J39" s="331"/>
      <c r="K39" s="342"/>
    </row>
    <row r="40" spans="1:11" ht="102.95">
      <c r="A40" s="355"/>
      <c r="B40" s="232" t="s">
        <v>144</v>
      </c>
      <c r="C40" s="233" t="s">
        <v>59</v>
      </c>
      <c r="D40" s="112" t="s">
        <v>7</v>
      </c>
      <c r="E40" s="121" t="s">
        <v>50</v>
      </c>
      <c r="F40" s="116" t="s">
        <v>145</v>
      </c>
      <c r="G40" s="115">
        <v>44013</v>
      </c>
      <c r="H40" s="120">
        <v>3</v>
      </c>
      <c r="I40" s="341"/>
      <c r="J40" s="331"/>
      <c r="K40" s="342"/>
    </row>
    <row r="41" spans="1:11" ht="61.7">
      <c r="A41" s="355"/>
      <c r="B41" s="232" t="s">
        <v>146</v>
      </c>
      <c r="C41" s="234" t="s">
        <v>114</v>
      </c>
      <c r="D41" s="119" t="s">
        <v>7</v>
      </c>
      <c r="E41" s="122" t="s">
        <v>147</v>
      </c>
      <c r="F41" s="116" t="s">
        <v>148</v>
      </c>
      <c r="G41" s="115">
        <v>45915</v>
      </c>
      <c r="H41" s="120">
        <v>2</v>
      </c>
      <c r="I41" s="341"/>
      <c r="J41" s="331"/>
      <c r="K41" s="342"/>
    </row>
    <row r="42" spans="1:11" ht="102.95">
      <c r="A42" s="355"/>
      <c r="B42" s="232" t="s">
        <v>149</v>
      </c>
      <c r="C42" s="234" t="s">
        <v>59</v>
      </c>
      <c r="D42" s="232" t="s">
        <v>7</v>
      </c>
      <c r="E42" s="233" t="s">
        <v>50</v>
      </c>
      <c r="F42" s="116" t="s">
        <v>150</v>
      </c>
      <c r="G42" s="115">
        <v>42153</v>
      </c>
      <c r="H42" s="120">
        <v>2</v>
      </c>
      <c r="I42" s="341"/>
      <c r="J42" s="331"/>
      <c r="K42" s="342"/>
    </row>
    <row r="43" spans="1:11" ht="41.1">
      <c r="A43" s="355"/>
      <c r="B43" s="232" t="s">
        <v>151</v>
      </c>
      <c r="C43" s="234" t="s">
        <v>59</v>
      </c>
      <c r="D43" s="232" t="s">
        <v>7</v>
      </c>
      <c r="E43" s="233" t="s">
        <v>50</v>
      </c>
      <c r="F43" s="116" t="s">
        <v>152</v>
      </c>
      <c r="G43" s="115">
        <v>44278</v>
      </c>
      <c r="H43" s="120">
        <v>2</v>
      </c>
      <c r="I43" s="341"/>
      <c r="J43" s="331"/>
      <c r="K43" s="342"/>
    </row>
    <row r="44" spans="1:11" ht="102.95">
      <c r="A44" s="355"/>
      <c r="B44" s="232" t="s">
        <v>153</v>
      </c>
      <c r="C44" s="234" t="s">
        <v>94</v>
      </c>
      <c r="D44" s="232" t="s">
        <v>7</v>
      </c>
      <c r="E44" s="233" t="s">
        <v>137</v>
      </c>
      <c r="F44" s="116" t="s">
        <v>154</v>
      </c>
      <c r="G44" s="115">
        <v>40959</v>
      </c>
      <c r="H44" s="120">
        <v>4</v>
      </c>
      <c r="I44" s="341"/>
      <c r="J44" s="331"/>
      <c r="K44" s="342"/>
    </row>
    <row r="45" spans="1:11" ht="82.35">
      <c r="A45" s="355"/>
      <c r="B45" s="232" t="s">
        <v>155</v>
      </c>
      <c r="C45" s="234" t="s">
        <v>59</v>
      </c>
      <c r="D45" s="232" t="s">
        <v>7</v>
      </c>
      <c r="E45" s="233" t="s">
        <v>50</v>
      </c>
      <c r="F45" s="116" t="s">
        <v>156</v>
      </c>
      <c r="G45" s="115">
        <v>42153</v>
      </c>
      <c r="H45" s="120">
        <v>2</v>
      </c>
      <c r="I45" s="341"/>
      <c r="J45" s="331"/>
      <c r="K45" s="342"/>
    </row>
    <row r="46" spans="1:11" ht="123.4">
      <c r="A46" s="355"/>
      <c r="B46" s="232" t="s">
        <v>157</v>
      </c>
      <c r="C46" s="234" t="s">
        <v>94</v>
      </c>
      <c r="D46" s="232" t="s">
        <v>7</v>
      </c>
      <c r="E46" s="233" t="s">
        <v>50</v>
      </c>
      <c r="F46" s="116" t="s">
        <v>158</v>
      </c>
      <c r="G46" s="115">
        <v>40436</v>
      </c>
      <c r="H46" s="120">
        <v>4</v>
      </c>
      <c r="I46" s="341"/>
      <c r="J46" s="331"/>
      <c r="K46" s="342"/>
    </row>
    <row r="47" spans="1:11" ht="185.1">
      <c r="A47" s="355"/>
      <c r="B47" s="232" t="s">
        <v>159</v>
      </c>
      <c r="C47" s="234" t="s">
        <v>160</v>
      </c>
      <c r="D47" s="232" t="s">
        <v>7</v>
      </c>
      <c r="E47" s="233" t="s">
        <v>161</v>
      </c>
      <c r="F47" s="116" t="s">
        <v>162</v>
      </c>
      <c r="G47" s="115">
        <v>41064</v>
      </c>
      <c r="H47" s="120">
        <v>4</v>
      </c>
      <c r="I47" s="341"/>
      <c r="J47" s="331"/>
      <c r="K47" s="342"/>
    </row>
    <row r="48" spans="1:11" s="1" customFormat="1">
      <c r="A48" s="355"/>
      <c r="B48" s="234" t="s">
        <v>163</v>
      </c>
      <c r="C48" s="234" t="s">
        <v>164</v>
      </c>
      <c r="D48" s="234" t="s">
        <v>11</v>
      </c>
      <c r="E48" s="233" t="s">
        <v>137</v>
      </c>
      <c r="F48" s="113"/>
      <c r="G48" s="113"/>
      <c r="H48" s="113"/>
      <c r="I48" s="341"/>
      <c r="J48" s="331"/>
      <c r="K48" s="342"/>
    </row>
    <row r="49" spans="1:11" ht="144">
      <c r="A49" s="355"/>
      <c r="B49" s="232" t="s">
        <v>165</v>
      </c>
      <c r="C49" s="234" t="s">
        <v>59</v>
      </c>
      <c r="D49" s="232" t="s">
        <v>7</v>
      </c>
      <c r="E49" s="233" t="s">
        <v>166</v>
      </c>
      <c r="F49" s="116" t="s">
        <v>167</v>
      </c>
      <c r="G49" s="115">
        <v>44343</v>
      </c>
      <c r="H49" s="120">
        <v>4</v>
      </c>
      <c r="I49" s="341"/>
      <c r="J49" s="331"/>
      <c r="K49" s="342"/>
    </row>
    <row r="50" spans="1:11" ht="82.35">
      <c r="A50" s="355"/>
      <c r="B50" s="232" t="s">
        <v>168</v>
      </c>
      <c r="C50" s="234" t="s">
        <v>59</v>
      </c>
      <c r="D50" s="232" t="s">
        <v>7</v>
      </c>
      <c r="E50" s="233" t="s">
        <v>166</v>
      </c>
      <c r="F50" s="116" t="s">
        <v>169</v>
      </c>
      <c r="G50" s="115">
        <v>43084</v>
      </c>
      <c r="H50" s="120">
        <v>3</v>
      </c>
      <c r="I50" s="341"/>
      <c r="J50" s="331"/>
      <c r="K50" s="342"/>
    </row>
    <row r="51" spans="1:11" ht="82.35">
      <c r="A51" s="356"/>
      <c r="B51" s="46" t="s">
        <v>170</v>
      </c>
      <c r="C51" s="97" t="s">
        <v>85</v>
      </c>
      <c r="D51" s="46" t="s">
        <v>7</v>
      </c>
      <c r="E51" s="123" t="s">
        <v>137</v>
      </c>
      <c r="F51" s="116" t="s">
        <v>171</v>
      </c>
      <c r="G51" s="115">
        <v>45293</v>
      </c>
      <c r="H51" s="120">
        <v>3</v>
      </c>
      <c r="I51" s="360"/>
      <c r="J51" s="331"/>
      <c r="K51" s="343"/>
    </row>
    <row r="52" spans="1:11" ht="107.25" customHeight="1">
      <c r="A52" s="357" t="s">
        <v>49</v>
      </c>
      <c r="B52" s="109" t="s">
        <v>172</v>
      </c>
      <c r="C52" s="110" t="s">
        <v>59</v>
      </c>
      <c r="D52" s="109" t="s">
        <v>7</v>
      </c>
      <c r="E52" s="111" t="s">
        <v>173</v>
      </c>
      <c r="F52" s="125" t="s">
        <v>174</v>
      </c>
      <c r="G52" s="125"/>
      <c r="H52" s="125">
        <v>3</v>
      </c>
      <c r="I52" s="344" t="s">
        <v>175</v>
      </c>
      <c r="J52" s="331">
        <v>48</v>
      </c>
      <c r="K52" s="344"/>
    </row>
    <row r="53" spans="1:11" ht="61.7">
      <c r="A53" s="358"/>
      <c r="B53" s="235" t="s">
        <v>176</v>
      </c>
      <c r="C53" s="236" t="s">
        <v>59</v>
      </c>
      <c r="D53" s="235" t="s">
        <v>7</v>
      </c>
      <c r="E53" s="237" t="s">
        <v>177</v>
      </c>
      <c r="F53" s="108" t="s">
        <v>178</v>
      </c>
      <c r="G53" s="55"/>
      <c r="H53" s="55">
        <v>4</v>
      </c>
      <c r="I53" s="345"/>
      <c r="J53" s="331"/>
      <c r="K53" s="345"/>
    </row>
    <row r="54" spans="1:11" ht="82.35">
      <c r="A54" s="358"/>
      <c r="B54" s="109" t="s">
        <v>179</v>
      </c>
      <c r="C54" s="110" t="s">
        <v>59</v>
      </c>
      <c r="D54" s="109" t="s">
        <v>7</v>
      </c>
      <c r="E54" s="111" t="s">
        <v>45</v>
      </c>
      <c r="F54" s="108" t="s">
        <v>180</v>
      </c>
      <c r="G54" s="108"/>
      <c r="H54" s="108">
        <v>4</v>
      </c>
      <c r="I54" s="345"/>
      <c r="J54" s="331"/>
      <c r="K54" s="345"/>
    </row>
    <row r="55" spans="1:11" ht="102.95">
      <c r="A55" s="358"/>
      <c r="B55" s="235" t="s">
        <v>181</v>
      </c>
      <c r="C55" s="236" t="s">
        <v>59</v>
      </c>
      <c r="D55" s="235" t="s">
        <v>7</v>
      </c>
      <c r="E55" s="237" t="s">
        <v>173</v>
      </c>
      <c r="F55" s="108" t="s">
        <v>182</v>
      </c>
      <c r="G55" s="55"/>
      <c r="H55" s="55">
        <v>3</v>
      </c>
      <c r="I55" s="345"/>
      <c r="J55" s="331"/>
      <c r="K55" s="345"/>
    </row>
    <row r="56" spans="1:11" ht="102.95">
      <c r="A56" s="358"/>
      <c r="B56" s="109" t="s">
        <v>183</v>
      </c>
      <c r="C56" s="110" t="s">
        <v>59</v>
      </c>
      <c r="D56" s="109" t="s">
        <v>7</v>
      </c>
      <c r="E56" s="111" t="s">
        <v>48</v>
      </c>
      <c r="F56" s="108" t="s">
        <v>184</v>
      </c>
      <c r="G56" s="108"/>
      <c r="H56" s="108">
        <v>3</v>
      </c>
      <c r="I56" s="345"/>
      <c r="J56" s="331"/>
      <c r="K56" s="345"/>
    </row>
    <row r="57" spans="1:11" ht="121.5" customHeight="1">
      <c r="A57" s="358"/>
      <c r="B57" s="235" t="s">
        <v>185</v>
      </c>
      <c r="C57" s="236" t="s">
        <v>59</v>
      </c>
      <c r="D57" s="235" t="s">
        <v>7</v>
      </c>
      <c r="E57" s="237" t="s">
        <v>40</v>
      </c>
      <c r="F57" s="108" t="s">
        <v>186</v>
      </c>
      <c r="G57" s="55"/>
      <c r="H57" s="55">
        <v>4</v>
      </c>
      <c r="I57" s="345"/>
      <c r="J57" s="331"/>
      <c r="K57" s="345"/>
    </row>
    <row r="58" spans="1:11" ht="102.95">
      <c r="A58" s="358"/>
      <c r="B58" s="109" t="s">
        <v>187</v>
      </c>
      <c r="C58" s="110" t="s">
        <v>114</v>
      </c>
      <c r="D58" s="109" t="s">
        <v>7</v>
      </c>
      <c r="E58" s="111" t="s">
        <v>48</v>
      </c>
      <c r="F58" s="108" t="s">
        <v>188</v>
      </c>
      <c r="G58" s="108"/>
      <c r="H58" s="108">
        <v>3</v>
      </c>
      <c r="I58" s="345"/>
      <c r="J58" s="331"/>
      <c r="K58" s="345"/>
    </row>
    <row r="59" spans="1:11" ht="61.7">
      <c r="A59" s="358"/>
      <c r="B59" s="235" t="s">
        <v>189</v>
      </c>
      <c r="C59" s="236" t="s">
        <v>114</v>
      </c>
      <c r="D59" s="235" t="s">
        <v>7</v>
      </c>
      <c r="E59" s="237" t="s">
        <v>190</v>
      </c>
      <c r="F59" s="108" t="s">
        <v>191</v>
      </c>
      <c r="G59" s="55"/>
      <c r="H59" s="55">
        <v>2</v>
      </c>
      <c r="I59" s="345"/>
      <c r="J59" s="331"/>
      <c r="K59" s="345"/>
    </row>
    <row r="60" spans="1:11" ht="102.95">
      <c r="A60" s="358"/>
      <c r="B60" s="109" t="s">
        <v>192</v>
      </c>
      <c r="C60" s="110" t="s">
        <v>59</v>
      </c>
      <c r="D60" s="109" t="s">
        <v>7</v>
      </c>
      <c r="E60" s="111" t="s">
        <v>48</v>
      </c>
      <c r="F60" s="108" t="s">
        <v>193</v>
      </c>
      <c r="G60" s="108"/>
      <c r="H60" s="108">
        <v>3</v>
      </c>
      <c r="I60" s="345"/>
      <c r="J60" s="331"/>
      <c r="K60" s="345"/>
    </row>
    <row r="61" spans="1:11" ht="102.95">
      <c r="A61" s="358"/>
      <c r="B61" s="235" t="s">
        <v>194</v>
      </c>
      <c r="C61" s="236" t="s">
        <v>114</v>
      </c>
      <c r="D61" s="235" t="s">
        <v>7</v>
      </c>
      <c r="E61" s="237" t="s">
        <v>48</v>
      </c>
      <c r="F61" s="108" t="s">
        <v>195</v>
      </c>
      <c r="G61" s="55"/>
      <c r="H61" s="55">
        <v>2</v>
      </c>
      <c r="I61" s="345"/>
      <c r="J61" s="331"/>
      <c r="K61" s="345"/>
    </row>
    <row r="62" spans="1:11" s="1" customFormat="1">
      <c r="A62" s="358"/>
      <c r="B62" s="109" t="s">
        <v>196</v>
      </c>
      <c r="C62" s="110" t="s">
        <v>112</v>
      </c>
      <c r="D62" s="110" t="s">
        <v>11</v>
      </c>
      <c r="E62" s="111" t="s">
        <v>197</v>
      </c>
      <c r="F62" s="108"/>
      <c r="G62" s="108"/>
      <c r="H62" s="108"/>
      <c r="I62" s="346"/>
      <c r="J62" s="331"/>
      <c r="K62" s="346"/>
    </row>
    <row r="63" spans="1:11" s="1" customFormat="1">
      <c r="A63" s="358"/>
      <c r="B63" s="235" t="s">
        <v>198</v>
      </c>
      <c r="C63" s="236" t="s">
        <v>140</v>
      </c>
      <c r="D63" s="236" t="s">
        <v>11</v>
      </c>
      <c r="E63" s="237" t="s">
        <v>45</v>
      </c>
      <c r="F63" s="108"/>
      <c r="G63" s="55"/>
      <c r="H63" s="55"/>
      <c r="I63" s="346"/>
      <c r="J63" s="331"/>
      <c r="K63" s="346"/>
    </row>
    <row r="64" spans="1:11" ht="102.95">
      <c r="A64" s="358"/>
      <c r="B64" s="109" t="s">
        <v>199</v>
      </c>
      <c r="C64" s="110" t="s">
        <v>59</v>
      </c>
      <c r="D64" s="109" t="s">
        <v>7</v>
      </c>
      <c r="E64" s="111" t="s">
        <v>40</v>
      </c>
      <c r="F64" s="108" t="s">
        <v>200</v>
      </c>
      <c r="G64" s="108"/>
      <c r="H64" s="108">
        <v>3</v>
      </c>
      <c r="I64" s="345"/>
      <c r="J64" s="331"/>
      <c r="K64" s="345"/>
    </row>
    <row r="65" spans="1:11" ht="123.4">
      <c r="A65" s="358"/>
      <c r="B65" s="235" t="s">
        <v>201</v>
      </c>
      <c r="C65" s="236" t="s">
        <v>59</v>
      </c>
      <c r="D65" s="235" t="s">
        <v>7</v>
      </c>
      <c r="E65" s="237" t="s">
        <v>45</v>
      </c>
      <c r="F65" s="108" t="s">
        <v>202</v>
      </c>
      <c r="G65" s="55"/>
      <c r="H65" s="55">
        <v>4</v>
      </c>
      <c r="I65" s="345"/>
      <c r="J65" s="331"/>
      <c r="K65" s="345"/>
    </row>
    <row r="66" spans="1:11" ht="123.4">
      <c r="A66" s="358"/>
      <c r="B66" s="109" t="s">
        <v>203</v>
      </c>
      <c r="C66" s="110" t="s">
        <v>94</v>
      </c>
      <c r="D66" s="109" t="s">
        <v>7</v>
      </c>
      <c r="E66" s="111" t="s">
        <v>48</v>
      </c>
      <c r="F66" s="108" t="s">
        <v>204</v>
      </c>
      <c r="G66" s="108"/>
      <c r="H66" s="108">
        <v>4</v>
      </c>
      <c r="I66" s="345"/>
      <c r="J66" s="331"/>
      <c r="K66" s="345"/>
    </row>
    <row r="67" spans="1:11" ht="61.7">
      <c r="A67" s="358"/>
      <c r="B67" s="235" t="s">
        <v>205</v>
      </c>
      <c r="C67" s="236" t="s">
        <v>59</v>
      </c>
      <c r="D67" s="235" t="s">
        <v>7</v>
      </c>
      <c r="E67" s="237" t="s">
        <v>48</v>
      </c>
      <c r="F67" s="108" t="s">
        <v>206</v>
      </c>
      <c r="G67" s="55"/>
      <c r="H67" s="55">
        <v>3</v>
      </c>
      <c r="I67" s="345"/>
      <c r="J67" s="331"/>
      <c r="K67" s="345"/>
    </row>
    <row r="68" spans="1:11" s="1" customFormat="1">
      <c r="A68" s="358"/>
      <c r="B68" s="109" t="s">
        <v>207</v>
      </c>
      <c r="C68" s="110" t="s">
        <v>208</v>
      </c>
      <c r="D68" s="110" t="s">
        <v>11</v>
      </c>
      <c r="E68" s="111" t="s">
        <v>209</v>
      </c>
      <c r="F68" s="108"/>
      <c r="G68" s="108"/>
      <c r="H68" s="108"/>
      <c r="I68" s="346"/>
      <c r="J68" s="331"/>
      <c r="K68" s="346"/>
    </row>
    <row r="69" spans="1:11" s="1" customFormat="1">
      <c r="A69" s="358"/>
      <c r="B69" s="235" t="s">
        <v>210</v>
      </c>
      <c r="C69" s="236" t="s">
        <v>164</v>
      </c>
      <c r="D69" s="236" t="s">
        <v>11</v>
      </c>
      <c r="E69" s="237" t="s">
        <v>40</v>
      </c>
      <c r="F69" s="108"/>
      <c r="G69" s="55"/>
      <c r="H69" s="55"/>
      <c r="I69" s="346"/>
      <c r="J69" s="331"/>
      <c r="K69" s="346"/>
    </row>
    <row r="70" spans="1:11" s="1" customFormat="1">
      <c r="A70" s="358"/>
      <c r="B70" s="109" t="s">
        <v>211</v>
      </c>
      <c r="C70" s="110" t="s">
        <v>112</v>
      </c>
      <c r="D70" s="110" t="s">
        <v>11</v>
      </c>
      <c r="E70" s="111" t="s">
        <v>212</v>
      </c>
      <c r="F70" s="108"/>
      <c r="G70" s="108"/>
      <c r="H70" s="108"/>
      <c r="I70" s="346"/>
      <c r="J70" s="331"/>
      <c r="K70" s="346"/>
    </row>
    <row r="71" spans="1:11" ht="82.35">
      <c r="A71" s="358"/>
      <c r="B71" s="235" t="s">
        <v>213</v>
      </c>
      <c r="C71" s="236" t="s">
        <v>214</v>
      </c>
      <c r="D71" s="235" t="s">
        <v>7</v>
      </c>
      <c r="E71" s="237" t="s">
        <v>40</v>
      </c>
      <c r="F71" s="108" t="s">
        <v>215</v>
      </c>
      <c r="G71" s="55"/>
      <c r="H71" s="55">
        <v>2</v>
      </c>
      <c r="I71" s="345"/>
      <c r="J71" s="331"/>
      <c r="K71" s="345"/>
    </row>
    <row r="72" spans="1:11" ht="102.95">
      <c r="A72" s="358"/>
      <c r="B72" s="109" t="s">
        <v>216</v>
      </c>
      <c r="C72" s="110" t="s">
        <v>85</v>
      </c>
      <c r="D72" s="109" t="s">
        <v>7</v>
      </c>
      <c r="E72" s="111" t="s">
        <v>45</v>
      </c>
      <c r="F72" s="108" t="s">
        <v>217</v>
      </c>
      <c r="G72" s="108"/>
      <c r="H72" s="108">
        <v>3</v>
      </c>
      <c r="I72" s="345"/>
      <c r="J72" s="331"/>
      <c r="K72" s="345"/>
    </row>
    <row r="73" spans="1:11" ht="82.35">
      <c r="A73" s="358"/>
      <c r="B73" s="235" t="s">
        <v>218</v>
      </c>
      <c r="C73" s="236" t="s">
        <v>59</v>
      </c>
      <c r="D73" s="235" t="s">
        <v>7</v>
      </c>
      <c r="E73" s="237" t="s">
        <v>48</v>
      </c>
      <c r="F73" s="108" t="s">
        <v>219</v>
      </c>
      <c r="G73" s="55"/>
      <c r="H73" s="55">
        <v>2</v>
      </c>
      <c r="I73" s="345"/>
      <c r="J73" s="331"/>
      <c r="K73" s="345"/>
    </row>
    <row r="74" spans="1:11" ht="123.4">
      <c r="A74" s="358"/>
      <c r="B74" s="109" t="s">
        <v>220</v>
      </c>
      <c r="C74" s="110" t="s">
        <v>59</v>
      </c>
      <c r="D74" s="109" t="s">
        <v>7</v>
      </c>
      <c r="E74" s="111" t="s">
        <v>197</v>
      </c>
      <c r="F74" s="108" t="s">
        <v>221</v>
      </c>
      <c r="G74" s="108"/>
      <c r="H74" s="108">
        <v>3</v>
      </c>
      <c r="I74" s="345"/>
      <c r="J74" s="331"/>
      <c r="K74" s="345"/>
    </row>
    <row r="75" spans="1:11" s="1" customFormat="1">
      <c r="A75" s="358"/>
      <c r="B75" s="235" t="s">
        <v>222</v>
      </c>
      <c r="C75" s="236" t="s">
        <v>140</v>
      </c>
      <c r="D75" s="236" t="s">
        <v>11</v>
      </c>
      <c r="E75" s="237" t="s">
        <v>40</v>
      </c>
      <c r="F75" s="108"/>
      <c r="G75" s="55"/>
      <c r="H75" s="55"/>
      <c r="I75" s="346"/>
      <c r="J75" s="331"/>
      <c r="K75" s="346"/>
    </row>
    <row r="76" spans="1:11" s="1" customFormat="1">
      <c r="A76" s="358"/>
      <c r="B76" s="109" t="s">
        <v>223</v>
      </c>
      <c r="C76" s="110" t="s">
        <v>112</v>
      </c>
      <c r="D76" s="110" t="s">
        <v>11</v>
      </c>
      <c r="E76" s="111" t="s">
        <v>224</v>
      </c>
      <c r="F76" s="108"/>
      <c r="G76" s="108"/>
      <c r="H76" s="108"/>
      <c r="I76" s="346"/>
      <c r="J76" s="331"/>
      <c r="K76" s="346"/>
    </row>
    <row r="77" spans="1:11" ht="61.7">
      <c r="A77" s="358"/>
      <c r="B77" s="235" t="s">
        <v>225</v>
      </c>
      <c r="C77" s="236" t="s">
        <v>85</v>
      </c>
      <c r="D77" s="235" t="s">
        <v>7</v>
      </c>
      <c r="E77" s="237" t="s">
        <v>226</v>
      </c>
      <c r="F77" s="108" t="s">
        <v>227</v>
      </c>
      <c r="G77" s="55"/>
      <c r="H77" s="55">
        <v>2</v>
      </c>
      <c r="I77" s="345"/>
      <c r="J77" s="331"/>
      <c r="K77" s="345"/>
    </row>
    <row r="78" spans="1:11" ht="82.35">
      <c r="A78" s="358"/>
      <c r="B78" s="109" t="s">
        <v>228</v>
      </c>
      <c r="C78" s="110" t="s">
        <v>85</v>
      </c>
      <c r="D78" s="109" t="s">
        <v>7</v>
      </c>
      <c r="E78" s="111" t="s">
        <v>229</v>
      </c>
      <c r="F78" s="108" t="s">
        <v>230</v>
      </c>
      <c r="G78" s="108"/>
      <c r="H78" s="108">
        <v>3</v>
      </c>
      <c r="I78" s="345"/>
      <c r="J78" s="331"/>
      <c r="K78" s="345"/>
    </row>
    <row r="79" spans="1:11" ht="102.95">
      <c r="A79" s="358"/>
      <c r="B79" s="235" t="s">
        <v>231</v>
      </c>
      <c r="C79" s="236" t="s">
        <v>85</v>
      </c>
      <c r="D79" s="235" t="s">
        <v>7</v>
      </c>
      <c r="E79" s="237" t="s">
        <v>48</v>
      </c>
      <c r="F79" s="108" t="s">
        <v>232</v>
      </c>
      <c r="G79" s="55"/>
      <c r="H79" s="55">
        <v>3</v>
      </c>
      <c r="I79" s="345"/>
      <c r="J79" s="331"/>
      <c r="K79" s="345"/>
    </row>
    <row r="80" spans="1:11" ht="41.1">
      <c r="A80" s="358"/>
      <c r="B80" s="109" t="s">
        <v>233</v>
      </c>
      <c r="C80" s="110" t="s">
        <v>59</v>
      </c>
      <c r="D80" s="109" t="s">
        <v>7</v>
      </c>
      <c r="E80" s="111" t="s">
        <v>234</v>
      </c>
      <c r="F80" s="108" t="s">
        <v>123</v>
      </c>
      <c r="G80" s="108"/>
      <c r="H80" s="108">
        <v>2</v>
      </c>
      <c r="I80" s="345"/>
      <c r="J80" s="331"/>
      <c r="K80" s="345"/>
    </row>
    <row r="81" spans="1:11" ht="123.4">
      <c r="A81" s="358"/>
      <c r="B81" s="235" t="s">
        <v>235</v>
      </c>
      <c r="C81" s="236" t="s">
        <v>59</v>
      </c>
      <c r="D81" s="235" t="s">
        <v>7</v>
      </c>
      <c r="E81" s="237" t="s">
        <v>48</v>
      </c>
      <c r="F81" s="108" t="s">
        <v>236</v>
      </c>
      <c r="G81" s="55"/>
      <c r="H81" s="55">
        <v>3</v>
      </c>
      <c r="I81" s="345"/>
      <c r="J81" s="331"/>
      <c r="K81" s="345"/>
    </row>
    <row r="82" spans="1:11" s="1" customFormat="1">
      <c r="A82" s="358"/>
      <c r="B82" s="109" t="s">
        <v>237</v>
      </c>
      <c r="C82" s="110" t="s">
        <v>112</v>
      </c>
      <c r="D82" s="110" t="s">
        <v>11</v>
      </c>
      <c r="E82" s="111" t="s">
        <v>45</v>
      </c>
      <c r="F82" s="108"/>
      <c r="G82" s="108"/>
      <c r="H82" s="108"/>
      <c r="I82" s="346"/>
      <c r="J82" s="331"/>
      <c r="K82" s="346"/>
    </row>
    <row r="83" spans="1:11" ht="102.95">
      <c r="A83" s="358"/>
      <c r="B83" s="235" t="s">
        <v>238</v>
      </c>
      <c r="C83" s="236" t="s">
        <v>59</v>
      </c>
      <c r="D83" s="235" t="s">
        <v>7</v>
      </c>
      <c r="E83" s="237" t="s">
        <v>40</v>
      </c>
      <c r="F83" s="108" t="s">
        <v>239</v>
      </c>
      <c r="G83" s="55"/>
      <c r="H83" s="55">
        <v>3</v>
      </c>
      <c r="I83" s="345"/>
      <c r="J83" s="331"/>
      <c r="K83" s="345"/>
    </row>
    <row r="84" spans="1:11" ht="102.95">
      <c r="A84" s="358"/>
      <c r="B84" s="109" t="s">
        <v>240</v>
      </c>
      <c r="C84" s="110" t="s">
        <v>59</v>
      </c>
      <c r="D84" s="109" t="s">
        <v>7</v>
      </c>
      <c r="E84" s="111" t="s">
        <v>40</v>
      </c>
      <c r="F84" s="108" t="s">
        <v>241</v>
      </c>
      <c r="G84" s="108"/>
      <c r="H84" s="108">
        <v>3</v>
      </c>
      <c r="I84" s="345"/>
      <c r="J84" s="331"/>
      <c r="K84" s="345"/>
    </row>
    <row r="85" spans="1:11" ht="61.7">
      <c r="A85" s="358"/>
      <c r="B85" s="235" t="s">
        <v>242</v>
      </c>
      <c r="C85" s="236" t="s">
        <v>59</v>
      </c>
      <c r="D85" s="235" t="s">
        <v>7</v>
      </c>
      <c r="E85" s="237" t="s">
        <v>173</v>
      </c>
      <c r="F85" s="108" t="s">
        <v>243</v>
      </c>
      <c r="G85" s="55"/>
      <c r="H85" s="55">
        <v>3</v>
      </c>
      <c r="I85" s="345"/>
      <c r="J85" s="331"/>
      <c r="K85" s="345"/>
    </row>
    <row r="86" spans="1:11" s="1" customFormat="1" ht="41.1">
      <c r="A86" s="358"/>
      <c r="B86" s="109" t="s">
        <v>244</v>
      </c>
      <c r="C86" s="110" t="s">
        <v>140</v>
      </c>
      <c r="D86" s="110" t="s">
        <v>11</v>
      </c>
      <c r="E86" s="111" t="s">
        <v>245</v>
      </c>
      <c r="F86" s="108"/>
      <c r="G86" s="108"/>
      <c r="H86" s="108"/>
      <c r="I86" s="346"/>
      <c r="J86" s="331"/>
      <c r="K86" s="346"/>
    </row>
    <row r="87" spans="1:11" ht="102.95">
      <c r="A87" s="358"/>
      <c r="B87" s="235" t="s">
        <v>246</v>
      </c>
      <c r="C87" s="236" t="s">
        <v>59</v>
      </c>
      <c r="D87" s="235" t="s">
        <v>7</v>
      </c>
      <c r="E87" s="237" t="s">
        <v>173</v>
      </c>
      <c r="F87" s="108" t="s">
        <v>247</v>
      </c>
      <c r="G87" s="55"/>
      <c r="H87" s="55">
        <v>3</v>
      </c>
      <c r="I87" s="345"/>
      <c r="J87" s="331"/>
      <c r="K87" s="345"/>
    </row>
    <row r="88" spans="1:11" ht="123.4">
      <c r="A88" s="358"/>
      <c r="B88" s="109" t="s">
        <v>248</v>
      </c>
      <c r="C88" s="110" t="s">
        <v>59</v>
      </c>
      <c r="D88" s="109" t="s">
        <v>7</v>
      </c>
      <c r="E88" s="111" t="s">
        <v>45</v>
      </c>
      <c r="F88" s="108" t="s">
        <v>249</v>
      </c>
      <c r="G88" s="108"/>
      <c r="H88" s="108">
        <v>3</v>
      </c>
      <c r="I88" s="345"/>
      <c r="J88" s="331"/>
      <c r="K88" s="345"/>
    </row>
    <row r="89" spans="1:11" ht="102.95">
      <c r="A89" s="358"/>
      <c r="B89" s="235" t="s">
        <v>250</v>
      </c>
      <c r="C89" s="236" t="s">
        <v>85</v>
      </c>
      <c r="D89" s="235" t="s">
        <v>7</v>
      </c>
      <c r="E89" s="237" t="s">
        <v>40</v>
      </c>
      <c r="F89" s="108" t="s">
        <v>251</v>
      </c>
      <c r="G89" s="55"/>
      <c r="H89" s="55">
        <v>3</v>
      </c>
      <c r="I89" s="345"/>
      <c r="J89" s="331"/>
      <c r="K89" s="345"/>
    </row>
    <row r="90" spans="1:11" ht="144">
      <c r="A90" s="358"/>
      <c r="B90" s="109" t="s">
        <v>252</v>
      </c>
      <c r="C90" s="110" t="s">
        <v>59</v>
      </c>
      <c r="D90" s="109" t="s">
        <v>7</v>
      </c>
      <c r="E90" s="111" t="s">
        <v>245</v>
      </c>
      <c r="F90" s="108" t="s">
        <v>253</v>
      </c>
      <c r="G90" s="108"/>
      <c r="H90" s="108">
        <v>3</v>
      </c>
      <c r="I90" s="345"/>
      <c r="J90" s="331"/>
      <c r="K90" s="345"/>
    </row>
    <row r="91" spans="1:11" ht="41.1">
      <c r="A91" s="358"/>
      <c r="B91" s="235" t="s">
        <v>254</v>
      </c>
      <c r="C91" s="236" t="s">
        <v>85</v>
      </c>
      <c r="D91" s="235" t="s">
        <v>7</v>
      </c>
      <c r="E91" s="237" t="s">
        <v>173</v>
      </c>
      <c r="F91" s="108" t="s">
        <v>255</v>
      </c>
      <c r="G91" s="55"/>
      <c r="H91" s="55">
        <v>2</v>
      </c>
      <c r="I91" s="345"/>
      <c r="J91" s="331"/>
      <c r="K91" s="345"/>
    </row>
    <row r="92" spans="1:11" ht="123.4">
      <c r="A92" s="358"/>
      <c r="B92" s="109" t="s">
        <v>256</v>
      </c>
      <c r="C92" s="110" t="s">
        <v>59</v>
      </c>
      <c r="D92" s="109" t="s">
        <v>7</v>
      </c>
      <c r="E92" s="111" t="s">
        <v>81</v>
      </c>
      <c r="F92" s="108" t="s">
        <v>257</v>
      </c>
      <c r="G92" s="108"/>
      <c r="H92" s="108">
        <v>4</v>
      </c>
      <c r="I92" s="345"/>
      <c r="J92" s="331"/>
      <c r="K92" s="345"/>
    </row>
    <row r="93" spans="1:11" ht="82.35">
      <c r="A93" s="358"/>
      <c r="B93" s="235" t="s">
        <v>258</v>
      </c>
      <c r="C93" s="236" t="s">
        <v>59</v>
      </c>
      <c r="D93" s="235" t="s">
        <v>7</v>
      </c>
      <c r="E93" s="237" t="s">
        <v>48</v>
      </c>
      <c r="F93" s="108" t="s">
        <v>259</v>
      </c>
      <c r="G93" s="55"/>
      <c r="H93" s="55">
        <v>3</v>
      </c>
      <c r="I93" s="345"/>
      <c r="J93" s="331"/>
      <c r="K93" s="345"/>
    </row>
    <row r="94" spans="1:11" ht="82.35">
      <c r="A94" s="358"/>
      <c r="B94" s="109" t="s">
        <v>260</v>
      </c>
      <c r="C94" s="110" t="s">
        <v>59</v>
      </c>
      <c r="D94" s="109" t="s">
        <v>7</v>
      </c>
      <c r="E94" s="111" t="s">
        <v>173</v>
      </c>
      <c r="F94" s="108" t="s">
        <v>261</v>
      </c>
      <c r="G94" s="108"/>
      <c r="H94" s="108">
        <v>3</v>
      </c>
      <c r="I94" s="345"/>
      <c r="J94" s="331"/>
      <c r="K94" s="345"/>
    </row>
    <row r="95" spans="1:11" ht="102.95">
      <c r="A95" s="358"/>
      <c r="B95" s="235" t="s">
        <v>262</v>
      </c>
      <c r="C95" s="236" t="s">
        <v>59</v>
      </c>
      <c r="D95" s="235" t="s">
        <v>7</v>
      </c>
      <c r="E95" s="237" t="s">
        <v>48</v>
      </c>
      <c r="F95" s="108" t="s">
        <v>263</v>
      </c>
      <c r="G95" s="55"/>
      <c r="H95" s="55">
        <v>4</v>
      </c>
      <c r="I95" s="345"/>
      <c r="J95" s="331"/>
      <c r="K95" s="345"/>
    </row>
    <row r="96" spans="1:11" ht="82.35">
      <c r="A96" s="358"/>
      <c r="B96" s="109" t="s">
        <v>264</v>
      </c>
      <c r="C96" s="110" t="s">
        <v>59</v>
      </c>
      <c r="D96" s="109" t="s">
        <v>7</v>
      </c>
      <c r="E96" s="111" t="s">
        <v>48</v>
      </c>
      <c r="F96" s="108" t="s">
        <v>265</v>
      </c>
      <c r="G96" s="108"/>
      <c r="H96" s="108">
        <v>2</v>
      </c>
      <c r="I96" s="345"/>
      <c r="J96" s="331"/>
      <c r="K96" s="345"/>
    </row>
    <row r="97" spans="1:11" ht="102.95">
      <c r="A97" s="358"/>
      <c r="B97" s="235" t="s">
        <v>266</v>
      </c>
      <c r="C97" s="236" t="s">
        <v>267</v>
      </c>
      <c r="D97" s="235" t="s">
        <v>7</v>
      </c>
      <c r="E97" s="237" t="s">
        <v>209</v>
      </c>
      <c r="F97" s="108" t="s">
        <v>268</v>
      </c>
      <c r="G97" s="55"/>
      <c r="H97" s="55">
        <v>4</v>
      </c>
      <c r="I97" s="345"/>
      <c r="J97" s="331"/>
      <c r="K97" s="345"/>
    </row>
    <row r="98" spans="1:11" ht="102.95">
      <c r="A98" s="358"/>
      <c r="B98" s="109" t="s">
        <v>269</v>
      </c>
      <c r="C98" s="110" t="s">
        <v>59</v>
      </c>
      <c r="D98" s="109" t="s">
        <v>7</v>
      </c>
      <c r="E98" s="111" t="s">
        <v>173</v>
      </c>
      <c r="F98" s="108" t="s">
        <v>270</v>
      </c>
      <c r="G98" s="108"/>
      <c r="H98" s="108">
        <v>2</v>
      </c>
      <c r="I98" s="345"/>
      <c r="J98" s="331"/>
      <c r="K98" s="345"/>
    </row>
    <row r="99" spans="1:11" ht="82.35">
      <c r="A99" s="359"/>
      <c r="B99" s="235" t="s">
        <v>271</v>
      </c>
      <c r="C99" s="236" t="s">
        <v>59</v>
      </c>
      <c r="D99" s="235" t="s">
        <v>7</v>
      </c>
      <c r="E99" s="237" t="s">
        <v>173</v>
      </c>
      <c r="F99" s="108" t="s">
        <v>272</v>
      </c>
      <c r="G99" s="55"/>
      <c r="H99" s="55">
        <v>3</v>
      </c>
      <c r="I99" s="347"/>
      <c r="J99" s="331"/>
      <c r="K99" s="347"/>
    </row>
    <row r="100" spans="1:11" s="1" customFormat="1">
      <c r="A100" s="2"/>
      <c r="I100" s="6"/>
      <c r="J100" s="228">
        <f>J2+J16+J35+J52</f>
        <v>98</v>
      </c>
    </row>
    <row r="102" spans="1:11">
      <c r="A102" s="238" t="s">
        <v>273</v>
      </c>
      <c r="B102" s="239" t="s">
        <v>274</v>
      </c>
      <c r="C102" s="188" t="s">
        <v>275</v>
      </c>
      <c r="E102" s="240" t="s">
        <v>6</v>
      </c>
      <c r="F102" s="241"/>
      <c r="G102" s="241"/>
      <c r="H102" s="241"/>
      <c r="I102" s="241" t="s">
        <v>276</v>
      </c>
      <c r="J102" s="241" t="s">
        <v>277</v>
      </c>
      <c r="K102" s="88"/>
    </row>
    <row r="103" spans="1:11">
      <c r="A103" s="242" t="s">
        <v>278</v>
      </c>
      <c r="B103" s="243" t="s">
        <v>279</v>
      </c>
      <c r="C103" s="228" t="s">
        <v>280</v>
      </c>
      <c r="E103" s="228">
        <v>19</v>
      </c>
      <c r="F103" s="226"/>
      <c r="G103" s="226"/>
      <c r="H103" s="226"/>
      <c r="I103" s="226">
        <v>79</v>
      </c>
      <c r="J103" s="226">
        <v>98</v>
      </c>
    </row>
    <row r="104" spans="1:11">
      <c r="A104" s="226" t="s">
        <v>281</v>
      </c>
      <c r="B104" s="244" t="s">
        <v>282</v>
      </c>
      <c r="C104" s="228" t="s">
        <v>283</v>
      </c>
    </row>
    <row r="105" spans="1:11">
      <c r="A105" s="226" t="s">
        <v>281</v>
      </c>
      <c r="B105" s="244" t="s">
        <v>284</v>
      </c>
      <c r="C105" s="228" t="s">
        <v>283</v>
      </c>
    </row>
    <row r="106" spans="1:11">
      <c r="A106" s="226" t="s">
        <v>281</v>
      </c>
      <c r="B106" s="244" t="s">
        <v>285</v>
      </c>
      <c r="C106" s="228" t="s">
        <v>286</v>
      </c>
    </row>
    <row r="107" spans="1:11">
      <c r="A107" s="245"/>
      <c r="B107" s="244"/>
      <c r="C107" s="228"/>
    </row>
    <row r="108" spans="1:11">
      <c r="A108" s="245"/>
      <c r="B108" s="244"/>
      <c r="C108" s="228"/>
    </row>
    <row r="109" spans="1:11">
      <c r="A109" s="245"/>
      <c r="B109" s="244"/>
      <c r="C109" s="228"/>
    </row>
  </sheetData>
  <autoFilter ref="A1:K100" xr:uid="{00000000-0001-0000-0000-000000000000}"/>
  <mergeCells count="17">
    <mergeCell ref="A2:A15"/>
    <mergeCell ref="A16:A34"/>
    <mergeCell ref="A35:A51"/>
    <mergeCell ref="A52:A99"/>
    <mergeCell ref="I2:I15"/>
    <mergeCell ref="I16:I34"/>
    <mergeCell ref="I35:I51"/>
    <mergeCell ref="I52:I99"/>
    <mergeCell ref="J16:J34"/>
    <mergeCell ref="J35:J51"/>
    <mergeCell ref="J52:J99"/>
    <mergeCell ref="Q2:Z2"/>
    <mergeCell ref="J2:J15"/>
    <mergeCell ref="K2:K15"/>
    <mergeCell ref="K16:K34"/>
    <mergeCell ref="K35:K51"/>
    <mergeCell ref="K52:K99"/>
  </mergeCells>
  <conditionalFormatting sqref="B1:B1048576">
    <cfRule type="duplicateValues" dxfId="5" priority="1"/>
    <cfRule type="duplicateValues" dxfId="4" priority="2"/>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34B7-AEA8-EB4C-9140-879E0E3D0633}">
  <sheetPr>
    <tabColor rgb="FF7030A0"/>
  </sheetPr>
  <dimension ref="A1:N99"/>
  <sheetViews>
    <sheetView zoomScale="60" zoomScaleNormal="60" workbookViewId="0">
      <pane ySplit="1" topLeftCell="A2" activePane="bottomLeft" state="frozen"/>
      <selection pane="bottomLeft" activeCell="D79" sqref="D79"/>
    </sheetView>
  </sheetViews>
  <sheetFormatPr defaultColWidth="10.85546875" defaultRowHeight="20.65"/>
  <cols>
    <col min="1" max="1" width="25.7109375" style="6" bestFit="1" customWidth="1"/>
    <col min="2" max="2" width="33.140625" style="6" customWidth="1"/>
    <col min="3" max="3" width="33.140625" style="6" hidden="1" customWidth="1"/>
    <col min="4" max="5" width="38.28515625" style="6" customWidth="1"/>
    <col min="6" max="7" width="41.7109375" style="6" customWidth="1"/>
    <col min="8" max="8" width="49" style="85" customWidth="1"/>
    <col min="9" max="10" width="41.7109375" style="6" customWidth="1"/>
    <col min="11" max="13" width="28.42578125" style="6" customWidth="1"/>
    <col min="14" max="16384" width="10.85546875" style="6"/>
  </cols>
  <sheetData>
    <row r="1" spans="1:14" ht="61.7">
      <c r="A1" s="3" t="s">
        <v>287</v>
      </c>
      <c r="B1" s="4" t="s">
        <v>1</v>
      </c>
      <c r="C1" s="17"/>
      <c r="D1" s="5" t="s">
        <v>2</v>
      </c>
      <c r="E1" s="5" t="s">
        <v>288</v>
      </c>
      <c r="F1" s="5" t="s">
        <v>3</v>
      </c>
      <c r="G1" s="214" t="s">
        <v>289</v>
      </c>
      <c r="H1" s="246" t="s">
        <v>28</v>
      </c>
      <c r="I1" s="247" t="s">
        <v>29</v>
      </c>
      <c r="J1" s="248" t="s">
        <v>30</v>
      </c>
      <c r="K1" s="11" t="s">
        <v>4</v>
      </c>
      <c r="L1" s="11" t="s">
        <v>5</v>
      </c>
      <c r="M1" s="11"/>
    </row>
    <row r="2" spans="1:14">
      <c r="A2" s="177" t="s">
        <v>290</v>
      </c>
      <c r="B2" s="177" t="s">
        <v>291</v>
      </c>
      <c r="C2" s="177" t="s">
        <v>292</v>
      </c>
      <c r="D2" s="177" t="s">
        <v>11</v>
      </c>
      <c r="E2" s="249" t="s">
        <v>293</v>
      </c>
      <c r="F2" s="249" t="s">
        <v>293</v>
      </c>
      <c r="G2" s="215"/>
      <c r="H2" s="82"/>
      <c r="I2" s="250"/>
      <c r="J2" s="73"/>
      <c r="K2" s="380" t="s">
        <v>294</v>
      </c>
      <c r="L2" s="392">
        <v>4</v>
      </c>
      <c r="M2" s="22"/>
    </row>
    <row r="3" spans="1:14">
      <c r="A3" s="177" t="s">
        <v>291</v>
      </c>
      <c r="B3" s="177" t="s">
        <v>295</v>
      </c>
      <c r="C3" s="177" t="s">
        <v>292</v>
      </c>
      <c r="D3" s="177" t="s">
        <v>11</v>
      </c>
      <c r="E3" s="249" t="s">
        <v>293</v>
      </c>
      <c r="F3" s="249" t="s">
        <v>293</v>
      </c>
      <c r="G3" s="215"/>
      <c r="H3" s="82"/>
      <c r="I3" s="250"/>
      <c r="J3" s="39"/>
      <c r="K3" s="380"/>
      <c r="L3" s="392"/>
      <c r="M3" s="22"/>
    </row>
    <row r="4" spans="1:14">
      <c r="A4" s="178"/>
      <c r="B4" s="177" t="s">
        <v>296</v>
      </c>
      <c r="C4" s="177" t="s">
        <v>292</v>
      </c>
      <c r="D4" s="177" t="s">
        <v>11</v>
      </c>
      <c r="E4" s="249" t="s">
        <v>293</v>
      </c>
      <c r="F4" s="249" t="s">
        <v>293</v>
      </c>
      <c r="G4" s="215"/>
      <c r="H4" s="78"/>
      <c r="I4" s="252"/>
      <c r="J4" s="74"/>
      <c r="K4" s="380"/>
      <c r="L4" s="392"/>
      <c r="M4" s="22"/>
    </row>
    <row r="5" spans="1:14">
      <c r="A5" s="368" t="s">
        <v>297</v>
      </c>
      <c r="B5" s="179" t="s">
        <v>298</v>
      </c>
      <c r="C5" s="179" t="s">
        <v>292</v>
      </c>
      <c r="D5" s="179" t="s">
        <v>11</v>
      </c>
      <c r="E5" s="222"/>
      <c r="F5" s="222" t="s">
        <v>299</v>
      </c>
      <c r="G5" s="162"/>
      <c r="H5" s="78"/>
      <c r="I5" s="252"/>
      <c r="J5" s="74"/>
      <c r="K5" s="380" t="s">
        <v>300</v>
      </c>
      <c r="L5" s="388">
        <v>6</v>
      </c>
      <c r="M5" s="20"/>
    </row>
    <row r="6" spans="1:14">
      <c r="A6" s="368"/>
      <c r="B6" s="179" t="s">
        <v>301</v>
      </c>
      <c r="C6" s="179" t="s">
        <v>292</v>
      </c>
      <c r="D6" s="179" t="s">
        <v>11</v>
      </c>
      <c r="E6" s="222"/>
      <c r="F6" s="222" t="s">
        <v>302</v>
      </c>
      <c r="G6" s="162"/>
      <c r="H6" s="78"/>
      <c r="I6" s="252"/>
      <c r="J6" s="74"/>
      <c r="K6" s="380"/>
      <c r="L6" s="388"/>
      <c r="M6" s="20"/>
    </row>
    <row r="7" spans="1:14">
      <c r="A7" s="368"/>
      <c r="B7" s="179" t="s">
        <v>303</v>
      </c>
      <c r="C7" s="179" t="s">
        <v>292</v>
      </c>
      <c r="D7" s="179" t="s">
        <v>11</v>
      </c>
      <c r="E7" s="222"/>
      <c r="F7" s="222" t="s">
        <v>40</v>
      </c>
      <c r="G7" s="162"/>
      <c r="H7" s="78"/>
      <c r="I7" s="252"/>
      <c r="J7" s="74"/>
      <c r="K7" s="380"/>
      <c r="L7" s="388"/>
      <c r="M7" s="20"/>
      <c r="N7" s="26"/>
    </row>
    <row r="8" spans="1:14">
      <c r="A8" s="368"/>
      <c r="B8" s="179" t="s">
        <v>304</v>
      </c>
      <c r="C8" s="179" t="s">
        <v>292</v>
      </c>
      <c r="D8" s="179" t="s">
        <v>11</v>
      </c>
      <c r="E8" s="222"/>
      <c r="F8" s="222" t="s">
        <v>50</v>
      </c>
      <c r="G8" s="162"/>
      <c r="H8" s="78"/>
      <c r="I8" s="252"/>
      <c r="J8" s="74"/>
      <c r="K8" s="380"/>
      <c r="L8" s="388"/>
      <c r="M8" s="20"/>
    </row>
    <row r="9" spans="1:14">
      <c r="A9" s="368"/>
      <c r="B9" s="179" t="s">
        <v>305</v>
      </c>
      <c r="C9" s="179" t="s">
        <v>292</v>
      </c>
      <c r="D9" s="179" t="s">
        <v>11</v>
      </c>
      <c r="E9" s="222"/>
      <c r="F9" s="222" t="s">
        <v>306</v>
      </c>
      <c r="G9" s="162"/>
      <c r="H9" s="78"/>
      <c r="I9" s="252"/>
      <c r="J9" s="74"/>
      <c r="K9" s="380"/>
      <c r="L9" s="388"/>
      <c r="M9" s="20"/>
    </row>
    <row r="10" spans="1:14">
      <c r="A10" s="368"/>
      <c r="B10" s="179" t="s">
        <v>307</v>
      </c>
      <c r="C10" s="179" t="s">
        <v>292</v>
      </c>
      <c r="D10" s="179" t="s">
        <v>11</v>
      </c>
      <c r="E10" s="222"/>
      <c r="F10" s="222" t="s">
        <v>308</v>
      </c>
      <c r="G10" s="162"/>
      <c r="H10" s="78"/>
      <c r="I10" s="252"/>
      <c r="J10" s="74"/>
      <c r="K10" s="380"/>
      <c r="L10" s="388"/>
      <c r="M10" s="20"/>
    </row>
    <row r="11" spans="1:14">
      <c r="A11" s="368"/>
      <c r="B11" s="179" t="s">
        <v>309</v>
      </c>
      <c r="C11" s="179" t="s">
        <v>292</v>
      </c>
      <c r="D11" s="179" t="s">
        <v>7</v>
      </c>
      <c r="E11" s="222" t="s">
        <v>310</v>
      </c>
      <c r="F11" s="222" t="s">
        <v>311</v>
      </c>
      <c r="G11" s="162"/>
      <c r="H11" s="78"/>
      <c r="I11" s="252"/>
      <c r="J11" s="74"/>
      <c r="K11" s="394"/>
      <c r="L11" s="393"/>
      <c r="M11" s="20"/>
    </row>
    <row r="12" spans="1:14" ht="61.7">
      <c r="A12" s="369" t="s">
        <v>298</v>
      </c>
      <c r="B12" s="185" t="s">
        <v>312</v>
      </c>
      <c r="C12" s="185"/>
      <c r="D12" s="185" t="s">
        <v>7</v>
      </c>
      <c r="E12" s="253" t="s">
        <v>313</v>
      </c>
      <c r="F12" s="253" t="s">
        <v>314</v>
      </c>
      <c r="G12" s="73"/>
      <c r="H12" s="78" t="s">
        <v>315</v>
      </c>
      <c r="I12" s="254">
        <v>43237</v>
      </c>
      <c r="J12" s="74">
        <v>3</v>
      </c>
      <c r="K12" s="386" t="s">
        <v>316</v>
      </c>
      <c r="L12" s="386">
        <v>6</v>
      </c>
      <c r="M12" s="21"/>
    </row>
    <row r="13" spans="1:14">
      <c r="A13" s="370"/>
      <c r="B13" s="185" t="s">
        <v>317</v>
      </c>
      <c r="C13" s="185" t="s">
        <v>318</v>
      </c>
      <c r="D13" s="185" t="s">
        <v>11</v>
      </c>
      <c r="E13" s="253"/>
      <c r="F13" s="253" t="s">
        <v>299</v>
      </c>
      <c r="G13" s="73"/>
      <c r="H13" s="78"/>
      <c r="I13" s="252"/>
      <c r="J13" s="74"/>
      <c r="K13" s="387"/>
      <c r="L13" s="386"/>
      <c r="M13" s="21"/>
    </row>
    <row r="14" spans="1:14" ht="61.7">
      <c r="A14" s="370"/>
      <c r="B14" s="185" t="s">
        <v>319</v>
      </c>
      <c r="C14" s="185"/>
      <c r="D14" s="185" t="s">
        <v>7</v>
      </c>
      <c r="E14" s="253" t="s">
        <v>310</v>
      </c>
      <c r="F14" s="253" t="s">
        <v>314</v>
      </c>
      <c r="G14" s="73"/>
      <c r="H14" s="78" t="s">
        <v>320</v>
      </c>
      <c r="I14" s="254">
        <v>44802</v>
      </c>
      <c r="J14" s="74">
        <v>2</v>
      </c>
      <c r="K14" s="386"/>
      <c r="L14" s="386"/>
      <c r="M14" s="21"/>
      <c r="N14" s="26"/>
    </row>
    <row r="15" spans="1:14">
      <c r="A15" s="370"/>
      <c r="B15" s="185" t="s">
        <v>321</v>
      </c>
      <c r="C15" s="185" t="s">
        <v>318</v>
      </c>
      <c r="D15" s="185" t="s">
        <v>11</v>
      </c>
      <c r="E15" s="253" t="s">
        <v>310</v>
      </c>
      <c r="F15" s="253" t="s">
        <v>314</v>
      </c>
      <c r="G15" s="73"/>
      <c r="H15" s="78"/>
      <c r="I15" s="252"/>
      <c r="J15" s="74">
        <v>3</v>
      </c>
      <c r="K15" s="387"/>
      <c r="L15" s="386"/>
      <c r="M15" s="21"/>
    </row>
    <row r="16" spans="1:14">
      <c r="A16" s="371"/>
      <c r="B16" s="185" t="s">
        <v>322</v>
      </c>
      <c r="C16" s="185" t="s">
        <v>318</v>
      </c>
      <c r="D16" s="185" t="s">
        <v>11</v>
      </c>
      <c r="E16" s="253" t="s">
        <v>310</v>
      </c>
      <c r="F16" s="253" t="s">
        <v>314</v>
      </c>
      <c r="G16" s="73"/>
      <c r="H16" s="90"/>
      <c r="I16" s="255"/>
      <c r="J16" s="91">
        <v>1</v>
      </c>
      <c r="K16" s="387"/>
      <c r="L16" s="386"/>
      <c r="M16" s="21"/>
    </row>
    <row r="17" spans="1:14" ht="61.7">
      <c r="A17" s="372" t="s">
        <v>317</v>
      </c>
      <c r="B17" s="206" t="s">
        <v>323</v>
      </c>
      <c r="C17" s="206"/>
      <c r="D17" s="206" t="s">
        <v>7</v>
      </c>
      <c r="E17" s="256" t="s">
        <v>310</v>
      </c>
      <c r="F17" s="256" t="s">
        <v>299</v>
      </c>
      <c r="G17" s="216"/>
      <c r="H17" s="79" t="s">
        <v>324</v>
      </c>
      <c r="I17" s="257">
        <v>45754</v>
      </c>
      <c r="J17" s="75">
        <v>1</v>
      </c>
      <c r="K17" s="361" t="s">
        <v>325</v>
      </c>
      <c r="L17" s="361">
        <v>6</v>
      </c>
      <c r="M17" s="21"/>
    </row>
    <row r="18" spans="1:14">
      <c r="A18" s="373"/>
      <c r="B18" s="206" t="s">
        <v>326</v>
      </c>
      <c r="C18" s="206" t="s">
        <v>292</v>
      </c>
      <c r="D18" s="206" t="s">
        <v>11</v>
      </c>
      <c r="E18" s="258" t="s">
        <v>327</v>
      </c>
      <c r="F18" s="256" t="s">
        <v>299</v>
      </c>
      <c r="G18" s="216"/>
      <c r="H18" s="79"/>
      <c r="I18" s="259"/>
      <c r="J18" s="75"/>
      <c r="K18" s="391"/>
      <c r="L18" s="361"/>
      <c r="M18" s="21"/>
      <c r="N18" s="26"/>
    </row>
    <row r="19" spans="1:14">
      <c r="A19" s="373"/>
      <c r="B19" s="206" t="s">
        <v>328</v>
      </c>
      <c r="C19" s="256" t="s">
        <v>318</v>
      </c>
      <c r="D19" s="256" t="s">
        <v>11</v>
      </c>
      <c r="E19" s="206" t="s">
        <v>310</v>
      </c>
      <c r="F19" s="260" t="s">
        <v>299</v>
      </c>
      <c r="G19" s="216"/>
      <c r="H19" s="79"/>
      <c r="I19" s="259"/>
      <c r="J19" s="75">
        <v>4</v>
      </c>
      <c r="K19" s="391"/>
      <c r="L19" s="361"/>
      <c r="M19" s="21"/>
    </row>
    <row r="20" spans="1:14" ht="61.7">
      <c r="A20" s="373"/>
      <c r="B20" s="206" t="s">
        <v>329</v>
      </c>
      <c r="C20" s="206"/>
      <c r="D20" s="206" t="s">
        <v>7</v>
      </c>
      <c r="E20" s="137" t="s">
        <v>310</v>
      </c>
      <c r="F20" s="256" t="s">
        <v>299</v>
      </c>
      <c r="G20" s="216"/>
      <c r="H20" s="89" t="s">
        <v>330</v>
      </c>
      <c r="I20" s="261">
        <v>44606</v>
      </c>
      <c r="J20" s="92">
        <v>4</v>
      </c>
      <c r="K20" s="361"/>
      <c r="L20" s="361"/>
      <c r="M20" s="21"/>
    </row>
    <row r="21" spans="1:14" ht="102.95">
      <c r="A21" s="373"/>
      <c r="B21" s="206" t="s">
        <v>331</v>
      </c>
      <c r="C21" s="206"/>
      <c r="D21" s="206" t="s">
        <v>7</v>
      </c>
      <c r="E21" s="256" t="s">
        <v>327</v>
      </c>
      <c r="F21" s="256" t="s">
        <v>299</v>
      </c>
      <c r="G21" s="216"/>
      <c r="H21" s="89" t="s">
        <v>332</v>
      </c>
      <c r="I21" s="261">
        <v>44378</v>
      </c>
      <c r="J21" s="92">
        <v>3</v>
      </c>
      <c r="K21" s="361"/>
      <c r="L21" s="361"/>
      <c r="M21" s="21"/>
    </row>
    <row r="22" spans="1:14" ht="61.7">
      <c r="A22" s="374"/>
      <c r="B22" s="206" t="s">
        <v>333</v>
      </c>
      <c r="C22" s="206"/>
      <c r="D22" s="206" t="s">
        <v>7</v>
      </c>
      <c r="E22" s="256" t="s">
        <v>313</v>
      </c>
      <c r="F22" s="256" t="s">
        <v>334</v>
      </c>
      <c r="G22" s="216"/>
      <c r="H22" s="89" t="s">
        <v>335</v>
      </c>
      <c r="I22" s="261">
        <v>45271</v>
      </c>
      <c r="J22" s="92">
        <v>2</v>
      </c>
      <c r="K22" s="362"/>
      <c r="L22" s="362"/>
      <c r="M22" s="21"/>
    </row>
    <row r="23" spans="1:14" ht="102.95">
      <c r="A23" s="363" t="s">
        <v>336</v>
      </c>
      <c r="B23" s="180" t="s">
        <v>337</v>
      </c>
      <c r="C23" s="180"/>
      <c r="D23" s="180" t="s">
        <v>7</v>
      </c>
      <c r="E23" s="262"/>
      <c r="F23" s="262" t="s">
        <v>40</v>
      </c>
      <c r="G23" s="164"/>
      <c r="H23" s="79" t="s">
        <v>338</v>
      </c>
      <c r="I23" s="257">
        <v>43327</v>
      </c>
      <c r="J23" s="75">
        <v>3</v>
      </c>
      <c r="K23" s="388" t="s">
        <v>339</v>
      </c>
      <c r="L23" s="367">
        <v>5</v>
      </c>
      <c r="M23" s="21"/>
    </row>
    <row r="24" spans="1:14" ht="61.7">
      <c r="A24" s="363"/>
      <c r="B24" s="180" t="s">
        <v>340</v>
      </c>
      <c r="C24" s="180"/>
      <c r="D24" s="180" t="s">
        <v>7</v>
      </c>
      <c r="E24" s="262"/>
      <c r="F24" s="262" t="s">
        <v>40</v>
      </c>
      <c r="G24" s="164"/>
      <c r="H24" s="79" t="s">
        <v>341</v>
      </c>
      <c r="I24" s="257">
        <v>45901</v>
      </c>
      <c r="J24" s="75">
        <v>1</v>
      </c>
      <c r="K24" s="388"/>
      <c r="L24" s="367"/>
      <c r="M24" s="21"/>
    </row>
    <row r="25" spans="1:14" ht="61.7">
      <c r="A25" s="363"/>
      <c r="B25" s="180" t="s">
        <v>342</v>
      </c>
      <c r="C25" s="180"/>
      <c r="D25" s="180" t="s">
        <v>7</v>
      </c>
      <c r="E25" s="262"/>
      <c r="F25" s="262" t="s">
        <v>40</v>
      </c>
      <c r="G25" s="164"/>
      <c r="H25" s="79" t="s">
        <v>343</v>
      </c>
      <c r="I25" s="257">
        <v>44272</v>
      </c>
      <c r="J25" s="75">
        <v>3</v>
      </c>
      <c r="K25" s="388"/>
      <c r="L25" s="367"/>
      <c r="M25" s="21"/>
    </row>
    <row r="26" spans="1:14" ht="102.95">
      <c r="A26" s="363"/>
      <c r="B26" s="180" t="s">
        <v>344</v>
      </c>
      <c r="C26" s="180"/>
      <c r="D26" s="180" t="s">
        <v>7</v>
      </c>
      <c r="E26" s="262"/>
      <c r="F26" s="262" t="s">
        <v>40</v>
      </c>
      <c r="G26" s="164"/>
      <c r="H26" s="79" t="s">
        <v>345</v>
      </c>
      <c r="I26" s="257">
        <v>44536</v>
      </c>
      <c r="J26" s="75">
        <v>2</v>
      </c>
      <c r="K26" s="388"/>
      <c r="L26" s="367"/>
      <c r="M26" s="21"/>
    </row>
    <row r="27" spans="1:14" ht="164.65">
      <c r="A27" s="363"/>
      <c r="B27" s="180" t="s">
        <v>346</v>
      </c>
      <c r="C27" s="180"/>
      <c r="D27" s="180" t="s">
        <v>7</v>
      </c>
      <c r="E27" s="264"/>
      <c r="F27" s="264" t="s">
        <v>40</v>
      </c>
      <c r="G27" s="164"/>
      <c r="H27" s="79" t="s">
        <v>347</v>
      </c>
      <c r="I27" s="257">
        <v>43140</v>
      </c>
      <c r="J27" s="75">
        <v>4</v>
      </c>
      <c r="K27" s="388"/>
      <c r="L27" s="367"/>
      <c r="M27" s="21"/>
    </row>
    <row r="28" spans="1:14">
      <c r="A28" s="364" t="s">
        <v>304</v>
      </c>
      <c r="B28" s="207" t="s">
        <v>348</v>
      </c>
      <c r="C28" s="265" t="s">
        <v>292</v>
      </c>
      <c r="D28" s="266" t="s">
        <v>11</v>
      </c>
      <c r="E28" s="181"/>
      <c r="F28" s="136" t="s">
        <v>50</v>
      </c>
      <c r="G28" s="217"/>
      <c r="H28" s="83"/>
      <c r="I28" s="234"/>
      <c r="J28" s="129"/>
      <c r="K28" s="366" t="s">
        <v>349</v>
      </c>
      <c r="L28" s="367">
        <v>5</v>
      </c>
      <c r="M28" s="21"/>
    </row>
    <row r="29" spans="1:14" ht="82.35">
      <c r="A29" s="364"/>
      <c r="B29" s="207" t="s">
        <v>350</v>
      </c>
      <c r="C29" s="265"/>
      <c r="D29" s="58" t="s">
        <v>7</v>
      </c>
      <c r="E29" s="58"/>
      <c r="F29" s="136" t="s">
        <v>50</v>
      </c>
      <c r="G29" s="218"/>
      <c r="H29" s="60" t="s">
        <v>351</v>
      </c>
      <c r="I29" s="268">
        <v>44949</v>
      </c>
      <c r="J29" s="76" t="s">
        <v>352</v>
      </c>
      <c r="K29" s="367"/>
      <c r="L29" s="367"/>
      <c r="M29" s="21"/>
    </row>
    <row r="30" spans="1:14" ht="102.95">
      <c r="A30" s="364"/>
      <c r="B30" s="207" t="s">
        <v>353</v>
      </c>
      <c r="C30" s="265"/>
      <c r="D30" s="58" t="s">
        <v>7</v>
      </c>
      <c r="E30" s="58"/>
      <c r="F30" s="136" t="s">
        <v>50</v>
      </c>
      <c r="G30" s="218"/>
      <c r="H30" s="60" t="s">
        <v>354</v>
      </c>
      <c r="I30" s="268">
        <v>45082</v>
      </c>
      <c r="J30" s="76" t="s">
        <v>355</v>
      </c>
      <c r="K30" s="367"/>
      <c r="L30" s="367"/>
      <c r="M30" s="21"/>
    </row>
    <row r="31" spans="1:14">
      <c r="A31" s="364"/>
      <c r="B31" s="207" t="s">
        <v>356</v>
      </c>
      <c r="C31" s="265" t="s">
        <v>292</v>
      </c>
      <c r="D31" s="156" t="s">
        <v>11</v>
      </c>
      <c r="E31" s="157" t="s">
        <v>310</v>
      </c>
      <c r="F31" s="136" t="s">
        <v>50</v>
      </c>
      <c r="G31" s="218"/>
      <c r="H31" s="84"/>
      <c r="I31" s="234"/>
      <c r="J31" s="129"/>
      <c r="K31" s="366"/>
      <c r="L31" s="367"/>
      <c r="M31" s="21"/>
    </row>
    <row r="32" spans="1:14" ht="82.35">
      <c r="A32" s="181" t="s">
        <v>348</v>
      </c>
      <c r="B32" s="207" t="s">
        <v>357</v>
      </c>
      <c r="C32" s="265"/>
      <c r="D32" s="58" t="s">
        <v>7</v>
      </c>
      <c r="E32" s="58" t="s">
        <v>327</v>
      </c>
      <c r="F32" s="136" t="s">
        <v>50</v>
      </c>
      <c r="G32" s="219"/>
      <c r="H32" s="59" t="s">
        <v>358</v>
      </c>
      <c r="I32" s="268">
        <v>43417</v>
      </c>
      <c r="J32" s="76" t="s">
        <v>359</v>
      </c>
      <c r="K32" s="367"/>
      <c r="L32" s="367"/>
      <c r="M32" s="21"/>
    </row>
    <row r="33" spans="1:14" ht="185.1">
      <c r="A33" s="365" t="s">
        <v>301</v>
      </c>
      <c r="B33" s="182" t="s">
        <v>360</v>
      </c>
      <c r="C33" s="269"/>
      <c r="D33" s="154" t="s">
        <v>7</v>
      </c>
      <c r="E33" s="154"/>
      <c r="F33" s="155" t="s">
        <v>45</v>
      </c>
      <c r="G33" s="220"/>
      <c r="H33" s="72" t="s">
        <v>361</v>
      </c>
      <c r="I33" s="270">
        <v>44578</v>
      </c>
      <c r="J33" s="77">
        <v>4</v>
      </c>
      <c r="K33" s="367" t="s">
        <v>362</v>
      </c>
      <c r="L33" s="367">
        <v>10</v>
      </c>
      <c r="M33" s="21"/>
    </row>
    <row r="34" spans="1:14">
      <c r="A34" s="365"/>
      <c r="B34" s="182" t="s">
        <v>363</v>
      </c>
      <c r="C34" s="182"/>
      <c r="D34" s="158" t="s">
        <v>7</v>
      </c>
      <c r="E34" s="71" t="s">
        <v>310</v>
      </c>
      <c r="F34" s="269" t="s">
        <v>45</v>
      </c>
      <c r="G34" s="220"/>
      <c r="H34" s="72"/>
      <c r="I34" s="270">
        <v>45293</v>
      </c>
      <c r="J34" s="77">
        <v>1</v>
      </c>
      <c r="K34" s="367"/>
      <c r="L34" s="367"/>
      <c r="M34" s="21"/>
    </row>
    <row r="35" spans="1:14" ht="164.65">
      <c r="A35" s="365"/>
      <c r="B35" s="182" t="s">
        <v>364</v>
      </c>
      <c r="C35" s="182"/>
      <c r="D35" s="182" t="s">
        <v>7</v>
      </c>
      <c r="E35" s="269"/>
      <c r="F35" s="269" t="s">
        <v>81</v>
      </c>
      <c r="G35" s="220"/>
      <c r="H35" s="72" t="s">
        <v>365</v>
      </c>
      <c r="I35" s="270">
        <v>45481</v>
      </c>
      <c r="J35" s="77">
        <v>3</v>
      </c>
      <c r="K35" s="367"/>
      <c r="L35" s="367"/>
      <c r="M35" s="21"/>
    </row>
    <row r="36" spans="1:14" ht="42" customHeight="1">
      <c r="A36" s="365"/>
      <c r="B36" s="182" t="s">
        <v>366</v>
      </c>
      <c r="C36" s="182" t="s">
        <v>292</v>
      </c>
      <c r="D36" s="182" t="s">
        <v>11</v>
      </c>
      <c r="E36" s="269" t="s">
        <v>327</v>
      </c>
      <c r="F36" s="269" t="s">
        <v>367</v>
      </c>
      <c r="G36" s="220"/>
      <c r="H36" s="72"/>
      <c r="I36" s="271"/>
      <c r="J36" s="130"/>
      <c r="K36" s="366"/>
      <c r="L36" s="367"/>
      <c r="M36" s="21"/>
      <c r="N36" s="26"/>
    </row>
    <row r="37" spans="1:14" ht="164.65">
      <c r="A37" s="365"/>
      <c r="B37" s="182" t="s">
        <v>368</v>
      </c>
      <c r="C37" s="182"/>
      <c r="D37" s="182" t="s">
        <v>7</v>
      </c>
      <c r="E37" s="269"/>
      <c r="F37" s="269" t="s">
        <v>81</v>
      </c>
      <c r="G37" s="220"/>
      <c r="H37" s="72" t="s">
        <v>369</v>
      </c>
      <c r="I37" s="270">
        <v>42753</v>
      </c>
      <c r="J37" s="77">
        <v>4</v>
      </c>
      <c r="K37" s="367"/>
      <c r="L37" s="367"/>
      <c r="M37" s="21"/>
    </row>
    <row r="38" spans="1:14" ht="82.35">
      <c r="A38" s="365"/>
      <c r="B38" s="182" t="s">
        <v>370</v>
      </c>
      <c r="C38" s="182"/>
      <c r="D38" s="182" t="s">
        <v>7</v>
      </c>
      <c r="E38" s="269"/>
      <c r="F38" s="269" t="s">
        <v>293</v>
      </c>
      <c r="G38" s="220"/>
      <c r="H38" s="72" t="s">
        <v>371</v>
      </c>
      <c r="I38" s="270">
        <v>45294</v>
      </c>
      <c r="J38" s="77">
        <v>2</v>
      </c>
      <c r="K38" s="367"/>
      <c r="L38" s="367"/>
      <c r="M38" s="21"/>
    </row>
    <row r="39" spans="1:14" ht="205.7">
      <c r="A39" s="365"/>
      <c r="B39" s="182" t="s">
        <v>372</v>
      </c>
      <c r="C39" s="182"/>
      <c r="D39" s="182" t="s">
        <v>7</v>
      </c>
      <c r="E39" s="269"/>
      <c r="F39" s="269" t="s">
        <v>45</v>
      </c>
      <c r="G39" s="220"/>
      <c r="H39" s="72" t="s">
        <v>373</v>
      </c>
      <c r="I39" s="270">
        <v>42842</v>
      </c>
      <c r="J39" s="77">
        <v>4</v>
      </c>
      <c r="K39" s="367"/>
      <c r="L39" s="367"/>
      <c r="M39" s="21"/>
    </row>
    <row r="40" spans="1:14" ht="144">
      <c r="A40" s="365"/>
      <c r="B40" s="182" t="s">
        <v>374</v>
      </c>
      <c r="C40" s="182"/>
      <c r="D40" s="182" t="s">
        <v>7</v>
      </c>
      <c r="E40" s="269"/>
      <c r="F40" s="269" t="s">
        <v>45</v>
      </c>
      <c r="G40" s="220"/>
      <c r="H40" s="72" t="s">
        <v>375</v>
      </c>
      <c r="I40" s="270">
        <v>45201</v>
      </c>
      <c r="J40" s="77">
        <v>1</v>
      </c>
      <c r="K40" s="367"/>
      <c r="L40" s="367"/>
      <c r="M40" s="21"/>
    </row>
    <row r="41" spans="1:14" ht="231" customHeight="1">
      <c r="A41" s="365"/>
      <c r="B41" s="182" t="s">
        <v>376</v>
      </c>
      <c r="C41" s="182"/>
      <c r="D41" s="182" t="s">
        <v>7</v>
      </c>
      <c r="E41" s="269"/>
      <c r="F41" s="269" t="s">
        <v>81</v>
      </c>
      <c r="G41" s="220"/>
      <c r="H41" s="72" t="s">
        <v>377</v>
      </c>
      <c r="I41" s="270">
        <v>43936</v>
      </c>
      <c r="J41" s="77">
        <v>4</v>
      </c>
      <c r="K41" s="367"/>
      <c r="L41" s="367"/>
      <c r="M41" s="21"/>
    </row>
    <row r="42" spans="1:14" ht="28.5" customHeight="1">
      <c r="A42" s="365"/>
      <c r="B42" s="182" t="s">
        <v>378</v>
      </c>
      <c r="C42" s="182" t="s">
        <v>292</v>
      </c>
      <c r="D42" s="182" t="s">
        <v>11</v>
      </c>
      <c r="E42" s="269" t="s">
        <v>310</v>
      </c>
      <c r="F42" s="269" t="s">
        <v>81</v>
      </c>
      <c r="G42" s="220"/>
      <c r="H42" s="72"/>
      <c r="I42" s="271"/>
      <c r="J42" s="130"/>
      <c r="K42" s="366"/>
      <c r="L42" s="367"/>
      <c r="M42" s="21"/>
    </row>
    <row r="43" spans="1:14" ht="36.75" customHeight="1">
      <c r="A43" s="375" t="s">
        <v>305</v>
      </c>
      <c r="B43" s="183" t="s">
        <v>379</v>
      </c>
      <c r="C43" s="183" t="s">
        <v>292</v>
      </c>
      <c r="D43" s="183" t="s">
        <v>11</v>
      </c>
      <c r="E43" s="272" t="s">
        <v>306</v>
      </c>
      <c r="F43" s="272" t="s">
        <v>306</v>
      </c>
      <c r="G43" s="221"/>
      <c r="H43" s="72"/>
      <c r="I43" s="271"/>
      <c r="J43" s="130"/>
      <c r="K43" s="366" t="s">
        <v>380</v>
      </c>
      <c r="L43" s="367">
        <v>7</v>
      </c>
      <c r="M43" s="21"/>
      <c r="N43" s="26"/>
    </row>
    <row r="44" spans="1:14" ht="27.75" customHeight="1">
      <c r="A44" s="375"/>
      <c r="B44" s="183" t="s">
        <v>381</v>
      </c>
      <c r="C44" s="183" t="s">
        <v>292</v>
      </c>
      <c r="D44" s="183" t="s">
        <v>11</v>
      </c>
      <c r="E44" s="272" t="s">
        <v>306</v>
      </c>
      <c r="F44" s="272" t="s">
        <v>306</v>
      </c>
      <c r="G44" s="221"/>
      <c r="H44" s="72"/>
      <c r="I44" s="271"/>
      <c r="J44" s="130"/>
      <c r="K44" s="366"/>
      <c r="L44" s="367"/>
      <c r="M44" s="21"/>
    </row>
    <row r="45" spans="1:14" ht="101.25" customHeight="1">
      <c r="A45" s="375" t="s">
        <v>381</v>
      </c>
      <c r="B45" s="183" t="s">
        <v>382</v>
      </c>
      <c r="C45" s="183"/>
      <c r="D45" s="183" t="s">
        <v>7</v>
      </c>
      <c r="E45" s="272"/>
      <c r="F45" s="272" t="s">
        <v>306</v>
      </c>
      <c r="G45" s="221"/>
      <c r="H45" s="72" t="s">
        <v>383</v>
      </c>
      <c r="I45" s="270">
        <v>44543</v>
      </c>
      <c r="J45" s="77">
        <v>3</v>
      </c>
      <c r="K45" s="367"/>
      <c r="L45" s="367"/>
      <c r="M45" s="21"/>
    </row>
    <row r="46" spans="1:14">
      <c r="A46" s="375"/>
      <c r="B46" s="183" t="s">
        <v>384</v>
      </c>
      <c r="C46" s="183"/>
      <c r="D46" s="183" t="s">
        <v>7</v>
      </c>
      <c r="E46" s="272"/>
      <c r="F46" s="272" t="s">
        <v>306</v>
      </c>
      <c r="G46" s="221"/>
      <c r="H46" s="72" t="s">
        <v>385</v>
      </c>
      <c r="I46" s="270">
        <v>44543</v>
      </c>
      <c r="J46" s="77">
        <v>4</v>
      </c>
      <c r="K46" s="367"/>
      <c r="L46" s="367"/>
      <c r="M46" s="21"/>
      <c r="N46" s="26"/>
    </row>
    <row r="47" spans="1:14">
      <c r="A47" s="375"/>
      <c r="B47" s="183" t="s">
        <v>386</v>
      </c>
      <c r="C47" s="183" t="s">
        <v>292</v>
      </c>
      <c r="D47" s="183" t="s">
        <v>11</v>
      </c>
      <c r="E47" s="272" t="s">
        <v>306</v>
      </c>
      <c r="F47" s="272" t="s">
        <v>306</v>
      </c>
      <c r="G47" s="221"/>
      <c r="H47" s="72"/>
      <c r="I47" s="271"/>
      <c r="J47" s="130"/>
      <c r="K47" s="366"/>
      <c r="L47" s="367"/>
      <c r="M47" s="21"/>
    </row>
    <row r="48" spans="1:14" ht="66" customHeight="1">
      <c r="A48" s="375"/>
      <c r="B48" s="183" t="s">
        <v>387</v>
      </c>
      <c r="C48" s="183"/>
      <c r="D48" s="183" t="s">
        <v>7</v>
      </c>
      <c r="E48" s="272"/>
      <c r="F48" s="272" t="s">
        <v>306</v>
      </c>
      <c r="G48" s="221"/>
      <c r="H48" s="72" t="s">
        <v>388</v>
      </c>
      <c r="I48" s="270">
        <v>44333</v>
      </c>
      <c r="J48" s="77">
        <v>4</v>
      </c>
      <c r="K48" s="367"/>
      <c r="L48" s="367"/>
      <c r="M48" s="21"/>
    </row>
    <row r="49" spans="1:14" ht="27" customHeight="1">
      <c r="A49" s="375"/>
      <c r="B49" s="183" t="s">
        <v>389</v>
      </c>
      <c r="C49" s="183"/>
      <c r="D49" s="183" t="s">
        <v>7</v>
      </c>
      <c r="E49" s="272"/>
      <c r="F49" s="272" t="s">
        <v>306</v>
      </c>
      <c r="G49" s="221"/>
      <c r="H49" s="72" t="s">
        <v>390</v>
      </c>
      <c r="I49" s="271"/>
      <c r="J49" s="77">
        <v>2</v>
      </c>
      <c r="K49" s="367"/>
      <c r="L49" s="367"/>
      <c r="M49" s="21"/>
    </row>
    <row r="50" spans="1:14">
      <c r="A50" s="368" t="s">
        <v>307</v>
      </c>
      <c r="B50" s="179" t="s">
        <v>391</v>
      </c>
      <c r="C50" s="179" t="s">
        <v>292</v>
      </c>
      <c r="D50" s="179" t="s">
        <v>11</v>
      </c>
      <c r="E50" s="222" t="s">
        <v>308</v>
      </c>
      <c r="F50" s="222" t="s">
        <v>392</v>
      </c>
      <c r="G50" s="162"/>
      <c r="H50" s="72"/>
      <c r="I50" s="271"/>
      <c r="J50" s="130"/>
      <c r="K50" s="366" t="s">
        <v>393</v>
      </c>
      <c r="L50" s="367">
        <v>3</v>
      </c>
      <c r="M50" s="21"/>
    </row>
    <row r="51" spans="1:14" ht="226.35">
      <c r="A51" s="368"/>
      <c r="B51" s="179" t="s">
        <v>394</v>
      </c>
      <c r="C51" s="179"/>
      <c r="D51" s="179" t="s">
        <v>7</v>
      </c>
      <c r="E51" s="222"/>
      <c r="F51" s="222" t="s">
        <v>395</v>
      </c>
      <c r="G51" s="162"/>
      <c r="H51" s="72" t="s">
        <v>396</v>
      </c>
      <c r="I51" s="273">
        <v>44146</v>
      </c>
      <c r="J51" s="77">
        <v>4</v>
      </c>
      <c r="K51" s="367"/>
      <c r="L51" s="367"/>
      <c r="M51" s="21"/>
    </row>
    <row r="52" spans="1:14">
      <c r="A52" s="368"/>
      <c r="B52" s="381" t="s">
        <v>397</v>
      </c>
      <c r="C52" s="381" t="s">
        <v>292</v>
      </c>
      <c r="D52" s="381" t="s">
        <v>11</v>
      </c>
      <c r="E52" s="381"/>
      <c r="F52" s="382" t="s">
        <v>395</v>
      </c>
      <c r="G52" s="162"/>
      <c r="H52" s="72"/>
      <c r="I52" s="271"/>
      <c r="J52" s="130"/>
      <c r="K52" s="366"/>
      <c r="L52" s="367"/>
      <c r="M52" s="21"/>
    </row>
    <row r="53" spans="1:14">
      <c r="A53" s="368"/>
      <c r="B53" s="381"/>
      <c r="C53" s="385"/>
      <c r="D53" s="381"/>
      <c r="E53" s="385"/>
      <c r="F53" s="382"/>
      <c r="G53" s="162"/>
      <c r="H53" s="72"/>
      <c r="I53" s="271"/>
      <c r="J53" s="77"/>
      <c r="K53" s="367"/>
      <c r="L53" s="367"/>
      <c r="M53" s="21"/>
    </row>
    <row r="54" spans="1:14">
      <c r="A54" s="326" t="s">
        <v>398</v>
      </c>
      <c r="B54" s="185" t="s">
        <v>399</v>
      </c>
      <c r="C54" s="185" t="s">
        <v>292</v>
      </c>
      <c r="D54" s="185" t="s">
        <v>11</v>
      </c>
      <c r="E54" s="253"/>
      <c r="F54" s="253" t="s">
        <v>400</v>
      </c>
      <c r="G54" s="73"/>
      <c r="H54" s="72"/>
      <c r="I54" s="271"/>
      <c r="J54" s="130"/>
      <c r="K54" s="380" t="s">
        <v>401</v>
      </c>
      <c r="L54" s="388">
        <v>3</v>
      </c>
      <c r="M54" s="23"/>
    </row>
    <row r="55" spans="1:14">
      <c r="A55" s="326"/>
      <c r="B55" s="185" t="s">
        <v>402</v>
      </c>
      <c r="C55" s="185" t="s">
        <v>292</v>
      </c>
      <c r="D55" s="185" t="s">
        <v>11</v>
      </c>
      <c r="E55" s="253"/>
      <c r="F55" s="253" t="s">
        <v>403</v>
      </c>
      <c r="G55" s="73"/>
      <c r="H55" s="72"/>
      <c r="I55" s="271"/>
      <c r="J55" s="130"/>
      <c r="K55" s="380"/>
      <c r="L55" s="388"/>
      <c r="M55" s="23"/>
      <c r="N55" s="26"/>
    </row>
    <row r="56" spans="1:14">
      <c r="A56" s="326"/>
      <c r="B56" s="185" t="s">
        <v>404</v>
      </c>
      <c r="C56" s="185" t="s">
        <v>292</v>
      </c>
      <c r="D56" s="185" t="s">
        <v>11</v>
      </c>
      <c r="E56" s="253"/>
      <c r="F56" s="253" t="s">
        <v>405</v>
      </c>
      <c r="G56" s="73"/>
      <c r="H56" s="72"/>
      <c r="I56" s="271"/>
      <c r="J56" s="130"/>
      <c r="K56" s="380"/>
      <c r="L56" s="388"/>
      <c r="M56" s="23"/>
    </row>
    <row r="57" spans="1:14" ht="168" customHeight="1">
      <c r="A57" s="377" t="s">
        <v>402</v>
      </c>
      <c r="B57" s="377" t="s">
        <v>406</v>
      </c>
      <c r="C57" s="186"/>
      <c r="D57" s="377" t="s">
        <v>7</v>
      </c>
      <c r="E57" s="377" t="s">
        <v>327</v>
      </c>
      <c r="F57" s="383" t="s">
        <v>400</v>
      </c>
      <c r="G57" s="164"/>
      <c r="H57" s="81" t="s">
        <v>407</v>
      </c>
      <c r="I57" s="270">
        <v>44473</v>
      </c>
      <c r="J57" s="77">
        <v>3</v>
      </c>
      <c r="K57" s="389" t="s">
        <v>408</v>
      </c>
      <c r="L57" s="389">
        <v>9</v>
      </c>
      <c r="M57" s="24"/>
    </row>
    <row r="58" spans="1:14">
      <c r="A58" s="378"/>
      <c r="B58" s="379"/>
      <c r="C58" s="126"/>
      <c r="D58" s="379"/>
      <c r="E58" s="379"/>
      <c r="F58" s="384"/>
      <c r="G58" s="164"/>
      <c r="H58" s="72"/>
      <c r="I58" s="271"/>
      <c r="J58" s="77"/>
      <c r="K58" s="389"/>
      <c r="L58" s="389"/>
      <c r="M58" s="24"/>
    </row>
    <row r="59" spans="1:14">
      <c r="A59" s="378"/>
      <c r="B59" s="180" t="s">
        <v>409</v>
      </c>
      <c r="C59" s="180" t="s">
        <v>292</v>
      </c>
      <c r="D59" s="180" t="s">
        <v>11</v>
      </c>
      <c r="E59" s="262" t="s">
        <v>327</v>
      </c>
      <c r="F59" s="262" t="s">
        <v>400</v>
      </c>
      <c r="G59" s="164"/>
      <c r="H59" s="72"/>
      <c r="I59" s="271"/>
      <c r="J59" s="130"/>
      <c r="K59" s="390"/>
      <c r="L59" s="389"/>
      <c r="M59" s="24"/>
    </row>
    <row r="60" spans="1:14">
      <c r="A60" s="378"/>
      <c r="B60" s="180" t="s">
        <v>410</v>
      </c>
      <c r="C60" s="180" t="s">
        <v>292</v>
      </c>
      <c r="D60" s="180" t="s">
        <v>11</v>
      </c>
      <c r="E60" s="262" t="s">
        <v>310</v>
      </c>
      <c r="F60" s="262" t="s">
        <v>400</v>
      </c>
      <c r="G60" s="164"/>
      <c r="H60" s="72"/>
      <c r="I60" s="271"/>
      <c r="J60" s="130"/>
      <c r="K60" s="390"/>
      <c r="L60" s="389"/>
      <c r="M60" s="24"/>
      <c r="N60" s="26"/>
    </row>
    <row r="61" spans="1:14" ht="205.7">
      <c r="A61" s="378"/>
      <c r="B61" s="180" t="s">
        <v>411</v>
      </c>
      <c r="C61" s="180"/>
      <c r="D61" s="180" t="s">
        <v>7</v>
      </c>
      <c r="E61" s="262"/>
      <c r="F61" s="262" t="s">
        <v>400</v>
      </c>
      <c r="G61" s="164"/>
      <c r="H61" s="81" t="s">
        <v>412</v>
      </c>
      <c r="I61" s="270">
        <v>44102</v>
      </c>
      <c r="J61" s="77">
        <v>3</v>
      </c>
      <c r="K61" s="389"/>
      <c r="L61" s="389"/>
      <c r="M61" s="24"/>
    </row>
    <row r="62" spans="1:14">
      <c r="A62" s="378"/>
      <c r="B62" s="180" t="s">
        <v>413</v>
      </c>
      <c r="C62" s="180" t="s">
        <v>292</v>
      </c>
      <c r="D62" s="180" t="s">
        <v>11</v>
      </c>
      <c r="E62" s="262" t="s">
        <v>310</v>
      </c>
      <c r="F62" s="262" t="s">
        <v>400</v>
      </c>
      <c r="G62" s="164"/>
      <c r="H62" s="72"/>
      <c r="I62" s="271"/>
      <c r="J62" s="130"/>
      <c r="K62" s="390"/>
      <c r="L62" s="389"/>
      <c r="M62" s="24"/>
    </row>
    <row r="63" spans="1:14">
      <c r="A63" s="378"/>
      <c r="B63" s="180" t="s">
        <v>414</v>
      </c>
      <c r="C63" s="180" t="s">
        <v>292</v>
      </c>
      <c r="D63" s="180" t="s">
        <v>11</v>
      </c>
      <c r="E63" s="262" t="s">
        <v>310</v>
      </c>
      <c r="F63" s="262" t="s">
        <v>400</v>
      </c>
      <c r="G63" s="164"/>
      <c r="H63" s="72"/>
      <c r="I63" s="271"/>
      <c r="J63" s="130"/>
      <c r="K63" s="390"/>
      <c r="L63" s="389"/>
      <c r="M63" s="24"/>
    </row>
    <row r="64" spans="1:14" ht="185.1">
      <c r="A64" s="378"/>
      <c r="B64" s="180" t="s">
        <v>415</v>
      </c>
      <c r="C64" s="180"/>
      <c r="D64" s="180" t="s">
        <v>7</v>
      </c>
      <c r="E64" s="262" t="s">
        <v>327</v>
      </c>
      <c r="F64" s="262" t="s">
        <v>311</v>
      </c>
      <c r="G64" s="164"/>
      <c r="H64" s="81" t="s">
        <v>416</v>
      </c>
      <c r="I64" s="270">
        <v>43871</v>
      </c>
      <c r="J64" s="77">
        <v>3</v>
      </c>
      <c r="K64" s="389"/>
      <c r="L64" s="389"/>
      <c r="M64" s="24"/>
    </row>
    <row r="65" spans="1:14" ht="229.5" customHeight="1">
      <c r="A65" s="378"/>
      <c r="B65" s="180" t="s">
        <v>417</v>
      </c>
      <c r="C65" s="180"/>
      <c r="D65" s="180" t="s">
        <v>7</v>
      </c>
      <c r="E65" s="262" t="s">
        <v>310</v>
      </c>
      <c r="F65" s="262" t="s">
        <v>311</v>
      </c>
      <c r="G65" s="164"/>
      <c r="H65" s="81" t="s">
        <v>418</v>
      </c>
      <c r="I65" s="270">
        <v>44823</v>
      </c>
      <c r="J65" s="77">
        <v>3</v>
      </c>
      <c r="K65" s="389"/>
      <c r="L65" s="389"/>
      <c r="M65" s="24"/>
    </row>
    <row r="66" spans="1:14">
      <c r="A66" s="379"/>
      <c r="B66" s="180" t="s">
        <v>419</v>
      </c>
      <c r="C66" s="180" t="s">
        <v>292</v>
      </c>
      <c r="D66" s="180" t="s">
        <v>11</v>
      </c>
      <c r="E66" s="262" t="s">
        <v>327</v>
      </c>
      <c r="F66" s="262" t="s">
        <v>311</v>
      </c>
      <c r="G66" s="164"/>
      <c r="H66" s="72"/>
      <c r="I66" s="271"/>
      <c r="J66" s="130"/>
      <c r="K66" s="390"/>
      <c r="L66" s="389"/>
      <c r="M66" s="24"/>
    </row>
    <row r="67" spans="1:14">
      <c r="A67" s="376" t="s">
        <v>404</v>
      </c>
      <c r="B67" s="187" t="s">
        <v>420</v>
      </c>
      <c r="C67" s="187" t="s">
        <v>292</v>
      </c>
      <c r="D67" s="187" t="s">
        <v>11</v>
      </c>
      <c r="E67" s="187" t="s">
        <v>327</v>
      </c>
      <c r="F67" s="274" t="s">
        <v>68</v>
      </c>
      <c r="G67" s="74"/>
      <c r="H67" s="78"/>
      <c r="I67" s="252"/>
      <c r="J67" s="131"/>
      <c r="K67" s="366" t="s">
        <v>421</v>
      </c>
      <c r="L67" s="367">
        <v>13</v>
      </c>
      <c r="M67" s="24"/>
    </row>
    <row r="68" spans="1:14" ht="349.7">
      <c r="A68" s="376"/>
      <c r="B68" s="187" t="s">
        <v>422</v>
      </c>
      <c r="C68" s="187"/>
      <c r="D68" s="187" t="s">
        <v>7</v>
      </c>
      <c r="E68" s="274" t="s">
        <v>310</v>
      </c>
      <c r="F68" s="274" t="s">
        <v>423</v>
      </c>
      <c r="G68" s="74"/>
      <c r="H68" s="61" t="s">
        <v>424</v>
      </c>
      <c r="I68" s="254">
        <v>44375</v>
      </c>
      <c r="J68" s="87">
        <v>4</v>
      </c>
      <c r="K68" s="367"/>
      <c r="L68" s="367"/>
      <c r="M68" s="24"/>
    </row>
    <row r="69" spans="1:14">
      <c r="A69" s="376"/>
      <c r="B69" s="187" t="s">
        <v>425</v>
      </c>
      <c r="C69" s="187" t="s">
        <v>292</v>
      </c>
      <c r="D69" s="187" t="s">
        <v>11</v>
      </c>
      <c r="E69" s="187" t="s">
        <v>327</v>
      </c>
      <c r="F69" s="274" t="s">
        <v>57</v>
      </c>
      <c r="G69" s="74"/>
      <c r="H69" s="78"/>
      <c r="I69" s="252"/>
      <c r="J69" s="131"/>
      <c r="K69" s="366"/>
      <c r="L69" s="367"/>
      <c r="M69" s="24"/>
    </row>
    <row r="70" spans="1:14">
      <c r="A70" s="376"/>
      <c r="B70" s="187" t="s">
        <v>426</v>
      </c>
      <c r="C70" s="187" t="s">
        <v>292</v>
      </c>
      <c r="D70" s="187" t="s">
        <v>11</v>
      </c>
      <c r="E70" s="187" t="s">
        <v>327</v>
      </c>
      <c r="F70" s="274" t="s">
        <v>57</v>
      </c>
      <c r="G70" s="74"/>
      <c r="H70" s="78"/>
      <c r="I70" s="252"/>
      <c r="J70" s="132"/>
      <c r="K70" s="366"/>
      <c r="L70" s="367"/>
      <c r="M70" s="24"/>
    </row>
    <row r="71" spans="1:14">
      <c r="A71" s="376"/>
      <c r="B71" s="187" t="s">
        <v>427</v>
      </c>
      <c r="C71" s="187" t="s">
        <v>292</v>
      </c>
      <c r="D71" s="187" t="s">
        <v>11</v>
      </c>
      <c r="E71" s="187" t="s">
        <v>310</v>
      </c>
      <c r="F71" s="187" t="s">
        <v>68</v>
      </c>
      <c r="G71" s="74"/>
      <c r="H71" s="78"/>
      <c r="I71" s="230"/>
      <c r="J71" s="131"/>
      <c r="K71" s="366"/>
      <c r="L71" s="367"/>
      <c r="M71" s="24"/>
      <c r="N71" s="26"/>
    </row>
    <row r="72" spans="1:14" ht="267.39999999999998">
      <c r="A72" s="376"/>
      <c r="B72" s="187" t="s">
        <v>428</v>
      </c>
      <c r="C72" s="187"/>
      <c r="D72" s="187" t="s">
        <v>7</v>
      </c>
      <c r="E72" s="187" t="s">
        <v>310</v>
      </c>
      <c r="F72" s="187" t="s">
        <v>57</v>
      </c>
      <c r="G72" s="74"/>
      <c r="H72" s="61" t="s">
        <v>429</v>
      </c>
      <c r="I72" s="275">
        <v>43598</v>
      </c>
      <c r="J72" s="87">
        <v>4</v>
      </c>
      <c r="K72" s="366"/>
      <c r="L72" s="367"/>
      <c r="M72" s="24"/>
    </row>
    <row r="73" spans="1:14" ht="409.6">
      <c r="A73" s="376"/>
      <c r="B73" s="187" t="s">
        <v>430</v>
      </c>
      <c r="C73" s="187"/>
      <c r="D73" s="187" t="s">
        <v>7</v>
      </c>
      <c r="E73" s="187" t="s">
        <v>327</v>
      </c>
      <c r="F73" s="187" t="s">
        <v>68</v>
      </c>
      <c r="G73" s="74"/>
      <c r="H73" s="61" t="s">
        <v>431</v>
      </c>
      <c r="I73" s="276">
        <v>43472</v>
      </c>
      <c r="J73" s="87">
        <v>3</v>
      </c>
      <c r="K73" s="366"/>
      <c r="L73" s="367"/>
      <c r="M73" s="24"/>
    </row>
    <row r="74" spans="1:14">
      <c r="A74" s="376"/>
      <c r="B74" s="187" t="s">
        <v>432</v>
      </c>
      <c r="C74" s="187" t="s">
        <v>318</v>
      </c>
      <c r="D74" s="187" t="s">
        <v>11</v>
      </c>
      <c r="E74" s="187" t="s">
        <v>310</v>
      </c>
      <c r="F74" s="187" t="s">
        <v>57</v>
      </c>
      <c r="G74" s="74"/>
      <c r="H74" s="78"/>
      <c r="I74" s="230"/>
      <c r="J74" s="131"/>
      <c r="K74" s="366"/>
      <c r="L74" s="367"/>
      <c r="M74" s="24"/>
    </row>
    <row r="75" spans="1:14" ht="164.65">
      <c r="A75" s="376"/>
      <c r="B75" s="187" t="s">
        <v>433</v>
      </c>
      <c r="C75" s="187"/>
      <c r="D75" s="187" t="s">
        <v>7</v>
      </c>
      <c r="E75" s="187" t="s">
        <v>327</v>
      </c>
      <c r="F75" s="187" t="s">
        <v>57</v>
      </c>
      <c r="G75" s="74"/>
      <c r="H75" s="61" t="s">
        <v>434</v>
      </c>
      <c r="I75" s="276">
        <v>44102</v>
      </c>
      <c r="J75" s="87">
        <v>3</v>
      </c>
      <c r="K75" s="366"/>
      <c r="L75" s="367"/>
      <c r="M75" s="24"/>
    </row>
    <row r="76" spans="1:14">
      <c r="A76" s="376"/>
      <c r="B76" s="187" t="s">
        <v>435</v>
      </c>
      <c r="C76" s="187" t="s">
        <v>292</v>
      </c>
      <c r="D76" s="187" t="s">
        <v>11</v>
      </c>
      <c r="E76" s="187" t="s">
        <v>327</v>
      </c>
      <c r="F76" s="187" t="s">
        <v>68</v>
      </c>
      <c r="G76" s="74"/>
      <c r="H76" s="78"/>
      <c r="I76" s="230"/>
      <c r="J76" s="131"/>
      <c r="K76" s="366"/>
      <c r="L76" s="367"/>
      <c r="M76" s="24"/>
    </row>
    <row r="77" spans="1:14">
      <c r="A77" s="376"/>
      <c r="B77" s="187" t="s">
        <v>436</v>
      </c>
      <c r="C77" s="187" t="s">
        <v>292</v>
      </c>
      <c r="D77" s="187" t="s">
        <v>11</v>
      </c>
      <c r="E77" s="187" t="s">
        <v>310</v>
      </c>
      <c r="F77" s="187" t="s">
        <v>437</v>
      </c>
      <c r="G77" s="74"/>
      <c r="H77" s="78"/>
      <c r="I77" s="230"/>
      <c r="J77" s="131"/>
      <c r="K77" s="366"/>
      <c r="L77" s="367"/>
      <c r="M77" s="24"/>
    </row>
    <row r="78" spans="1:14" ht="267.39999999999998">
      <c r="A78" s="376"/>
      <c r="B78" s="187" t="s">
        <v>438</v>
      </c>
      <c r="C78" s="187"/>
      <c r="D78" s="187" t="s">
        <v>7</v>
      </c>
      <c r="E78" s="187" t="s">
        <v>310</v>
      </c>
      <c r="F78" s="187" t="s">
        <v>57</v>
      </c>
      <c r="G78" s="74"/>
      <c r="H78" s="61" t="s">
        <v>439</v>
      </c>
      <c r="I78" s="230" t="s">
        <v>440</v>
      </c>
      <c r="J78" s="87">
        <v>4</v>
      </c>
      <c r="K78" s="366"/>
      <c r="L78" s="367"/>
      <c r="M78" s="24"/>
    </row>
    <row r="79" spans="1:14" ht="329.1">
      <c r="A79" s="376"/>
      <c r="B79" s="187" t="s">
        <v>441</v>
      </c>
      <c r="C79" s="187"/>
      <c r="D79" s="187" t="s">
        <v>7</v>
      </c>
      <c r="E79" s="187" t="s">
        <v>310</v>
      </c>
      <c r="F79" s="187" t="s">
        <v>57</v>
      </c>
      <c r="G79" s="74"/>
      <c r="H79" s="61" t="s">
        <v>442</v>
      </c>
      <c r="I79" s="276">
        <v>44536</v>
      </c>
      <c r="J79" s="87">
        <v>4</v>
      </c>
      <c r="K79" s="366"/>
      <c r="L79" s="367"/>
      <c r="M79" s="24"/>
    </row>
    <row r="80" spans="1:14" ht="41.1">
      <c r="A80" s="179" t="s">
        <v>436</v>
      </c>
      <c r="B80" s="179" t="s">
        <v>443</v>
      </c>
      <c r="C80" s="179" t="s">
        <v>318</v>
      </c>
      <c r="D80" s="179" t="s">
        <v>11</v>
      </c>
      <c r="E80" s="179" t="s">
        <v>310</v>
      </c>
      <c r="F80" s="179" t="s">
        <v>437</v>
      </c>
      <c r="G80" s="222"/>
      <c r="H80" s="277"/>
      <c r="I80" s="179"/>
      <c r="J80" s="133"/>
      <c r="K80" s="267" t="s">
        <v>444</v>
      </c>
      <c r="L80" s="263">
        <v>1</v>
      </c>
      <c r="M80" s="24"/>
    </row>
    <row r="81" spans="1:13">
      <c r="K81" s="251"/>
      <c r="L81" s="263"/>
      <c r="M81" s="24"/>
    </row>
    <row r="82" spans="1:13">
      <c r="L82" s="278">
        <f>SUM(L2:L81)</f>
        <v>78</v>
      </c>
      <c r="M82" s="19"/>
    </row>
    <row r="84" spans="1:13">
      <c r="A84" s="188" t="s">
        <v>273</v>
      </c>
      <c r="B84" s="188" t="s">
        <v>274</v>
      </c>
      <c r="C84" s="11"/>
    </row>
    <row r="85" spans="1:13" ht="61.7">
      <c r="A85" s="189" t="s">
        <v>278</v>
      </c>
      <c r="B85" s="189" t="s">
        <v>279</v>
      </c>
      <c r="D85" s="64" t="s">
        <v>445</v>
      </c>
      <c r="E85" s="64"/>
      <c r="K85"/>
    </row>
    <row r="86" spans="1:13">
      <c r="A86" s="189" t="s">
        <v>446</v>
      </c>
      <c r="B86" s="189" t="s">
        <v>447</v>
      </c>
      <c r="D86" s="65" t="s">
        <v>448</v>
      </c>
      <c r="E86" s="65"/>
    </row>
    <row r="87" spans="1:13">
      <c r="A87" s="189" t="s">
        <v>281</v>
      </c>
      <c r="B87" s="189" t="s">
        <v>449</v>
      </c>
      <c r="D87" s="65" t="s">
        <v>448</v>
      </c>
      <c r="E87" s="65"/>
    </row>
    <row r="88" spans="1:13">
      <c r="A88" s="189" t="s">
        <v>450</v>
      </c>
      <c r="B88" s="189" t="s">
        <v>279</v>
      </c>
      <c r="D88" s="65" t="s">
        <v>451</v>
      </c>
      <c r="E88" s="65"/>
    </row>
    <row r="89" spans="1:13">
      <c r="A89" s="189" t="s">
        <v>452</v>
      </c>
      <c r="B89" s="189" t="s">
        <v>453</v>
      </c>
      <c r="D89" s="65" t="s">
        <v>454</v>
      </c>
      <c r="E89" s="65"/>
    </row>
    <row r="90" spans="1:13">
      <c r="A90" s="189" t="s">
        <v>455</v>
      </c>
      <c r="B90" s="189" t="s">
        <v>447</v>
      </c>
      <c r="D90" s="65" t="s">
        <v>456</v>
      </c>
      <c r="E90" s="65"/>
    </row>
    <row r="91" spans="1:13">
      <c r="A91" s="189" t="s">
        <v>452</v>
      </c>
      <c r="B91" s="189" t="s">
        <v>453</v>
      </c>
      <c r="D91" s="65" t="s">
        <v>457</v>
      </c>
      <c r="E91" s="65"/>
    </row>
    <row r="92" spans="1:13">
      <c r="A92" s="189"/>
      <c r="B92" s="189"/>
    </row>
    <row r="95" spans="1:13">
      <c r="K95" s="134" t="s">
        <v>3</v>
      </c>
      <c r="L95" s="16" t="s">
        <v>458</v>
      </c>
      <c r="M95" s="16"/>
    </row>
    <row r="96" spans="1:13">
      <c r="K96" s="135" t="s">
        <v>459</v>
      </c>
      <c r="L96" s="15">
        <v>40</v>
      </c>
      <c r="M96" s="15"/>
    </row>
    <row r="97" spans="11:13">
      <c r="K97" s="135" t="s">
        <v>460</v>
      </c>
      <c r="L97" s="15">
        <v>38</v>
      </c>
      <c r="M97" s="15"/>
    </row>
    <row r="98" spans="11:13">
      <c r="K98" s="135" t="s">
        <v>461</v>
      </c>
      <c r="L98" s="15">
        <v>19</v>
      </c>
      <c r="M98" s="15"/>
    </row>
    <row r="99" spans="11:13">
      <c r="K99" s="135" t="s">
        <v>462</v>
      </c>
      <c r="L99" s="15">
        <v>80</v>
      </c>
      <c r="M99" s="15"/>
    </row>
  </sheetData>
  <autoFilter ref="A1:N80" xr:uid="{723634B7-AEA8-EB4C-9140-879E0E3D0633}"/>
  <mergeCells count="45">
    <mergeCell ref="L57:L66"/>
    <mergeCell ref="K67:K79"/>
    <mergeCell ref="L67:L79"/>
    <mergeCell ref="L2:L4"/>
    <mergeCell ref="L5:L11"/>
    <mergeCell ref="L12:L16"/>
    <mergeCell ref="L23:L27"/>
    <mergeCell ref="L33:L42"/>
    <mergeCell ref="L43:L49"/>
    <mergeCell ref="L50:L53"/>
    <mergeCell ref="L54:L56"/>
    <mergeCell ref="L28:L32"/>
    <mergeCell ref="K33:K42"/>
    <mergeCell ref="K43:K49"/>
    <mergeCell ref="K2:K4"/>
    <mergeCell ref="K5:K11"/>
    <mergeCell ref="K12:K16"/>
    <mergeCell ref="K23:K27"/>
    <mergeCell ref="K57:K66"/>
    <mergeCell ref="A50:A53"/>
    <mergeCell ref="A54:A56"/>
    <mergeCell ref="K17:K22"/>
    <mergeCell ref="E57:E58"/>
    <mergeCell ref="A67:A79"/>
    <mergeCell ref="A57:A66"/>
    <mergeCell ref="K50:K53"/>
    <mergeCell ref="K54:K56"/>
    <mergeCell ref="B52:B53"/>
    <mergeCell ref="D52:D53"/>
    <mergeCell ref="F52:F53"/>
    <mergeCell ref="B57:B58"/>
    <mergeCell ref="D57:D58"/>
    <mergeCell ref="F57:F58"/>
    <mergeCell ref="C52:C53"/>
    <mergeCell ref="E52:E53"/>
    <mergeCell ref="A5:A11"/>
    <mergeCell ref="A12:A16"/>
    <mergeCell ref="A17:A22"/>
    <mergeCell ref="A43:A44"/>
    <mergeCell ref="A45:A49"/>
    <mergeCell ref="L17:L22"/>
    <mergeCell ref="A23:A27"/>
    <mergeCell ref="A28:A31"/>
    <mergeCell ref="A33:A42"/>
    <mergeCell ref="K28:K3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CEFC-BBAB-4A52-A790-271D2132E4C8}">
  <dimension ref="A1:F1099"/>
  <sheetViews>
    <sheetView tabSelected="1" topLeftCell="A52" workbookViewId="0">
      <selection activeCell="B67" sqref="B67"/>
    </sheetView>
  </sheetViews>
  <sheetFormatPr defaultRowHeight="14.65" customHeight="1"/>
  <cols>
    <col min="2" max="2" width="29.140625" customWidth="1"/>
    <col min="3" max="3" width="25.5703125" customWidth="1"/>
    <col min="4" max="4" width="39" customWidth="1"/>
    <col min="5" max="5" width="30.140625" style="141" bestFit="1" customWidth="1"/>
    <col min="6" max="6" width="18.42578125" customWidth="1"/>
    <col min="17" max="17" width="21.28515625" customWidth="1"/>
    <col min="18" max="18" width="31.42578125" customWidth="1"/>
    <col min="19" max="19" width="21.140625" customWidth="1"/>
    <col min="20" max="20" width="13.28515625" customWidth="1"/>
    <col min="21" max="21" width="23" customWidth="1"/>
  </cols>
  <sheetData>
    <row r="1" spans="1:6" s="213" customFormat="1" ht="23.25" customHeight="1">
      <c r="B1" s="294" t="s">
        <v>463</v>
      </c>
      <c r="C1" s="294" t="s">
        <v>0</v>
      </c>
      <c r="D1" s="294" t="s">
        <v>26</v>
      </c>
      <c r="E1" s="213" t="s">
        <v>289</v>
      </c>
      <c r="F1" s="213" t="s">
        <v>2</v>
      </c>
    </row>
    <row r="2" spans="1:6" ht="23.25" customHeight="1">
      <c r="B2" s="295" t="s">
        <v>464</v>
      </c>
      <c r="C2" s="295" t="s">
        <v>465</v>
      </c>
      <c r="D2" s="295" t="s">
        <v>466</v>
      </c>
      <c r="E2" s="141" t="s">
        <v>467</v>
      </c>
    </row>
    <row r="3" spans="1:6" ht="23.25" customHeight="1">
      <c r="A3" s="397" t="s">
        <v>468</v>
      </c>
      <c r="B3" s="296" t="s">
        <v>297</v>
      </c>
      <c r="C3" s="295" t="s">
        <v>469</v>
      </c>
      <c r="D3" s="297" t="s">
        <v>470</v>
      </c>
      <c r="E3" s="141" t="s">
        <v>467</v>
      </c>
    </row>
    <row r="4" spans="1:6" ht="23.25" customHeight="1">
      <c r="A4" s="397"/>
      <c r="B4" s="296" t="s">
        <v>471</v>
      </c>
      <c r="C4" s="295" t="s">
        <v>469</v>
      </c>
      <c r="D4" s="295" t="s">
        <v>472</v>
      </c>
      <c r="E4" s="141" t="s">
        <v>473</v>
      </c>
    </row>
    <row r="5" spans="1:6" ht="23.25" customHeight="1">
      <c r="A5" s="397"/>
      <c r="B5" s="296" t="s">
        <v>34</v>
      </c>
      <c r="C5" s="295" t="s">
        <v>469</v>
      </c>
      <c r="D5" s="295" t="s">
        <v>474</v>
      </c>
      <c r="E5" s="141" t="s">
        <v>475</v>
      </c>
    </row>
    <row r="6" spans="1:6" ht="23.25" customHeight="1">
      <c r="A6" s="397"/>
      <c r="B6" s="296" t="s">
        <v>290</v>
      </c>
      <c r="C6" s="295" t="s">
        <v>469</v>
      </c>
      <c r="D6" s="295" t="s">
        <v>476</v>
      </c>
      <c r="E6" s="141" t="s">
        <v>467</v>
      </c>
    </row>
    <row r="7" spans="1:6" ht="23.25" customHeight="1">
      <c r="A7" s="397"/>
      <c r="B7" s="296" t="s">
        <v>9</v>
      </c>
      <c r="C7" s="295" t="s">
        <v>469</v>
      </c>
      <c r="D7" s="295" t="s">
        <v>477</v>
      </c>
      <c r="E7" s="141" t="s">
        <v>478</v>
      </c>
    </row>
    <row r="8" spans="1:6" ht="23.25" customHeight="1">
      <c r="A8" s="397"/>
      <c r="B8" s="296" t="s">
        <v>479</v>
      </c>
      <c r="C8" s="295" t="s">
        <v>469</v>
      </c>
      <c r="D8" s="295" t="s">
        <v>480</v>
      </c>
      <c r="E8" s="141" t="s">
        <v>481</v>
      </c>
    </row>
    <row r="9" spans="1:6" ht="23.25" customHeight="1">
      <c r="A9" s="401" t="s">
        <v>482</v>
      </c>
      <c r="B9" s="298" t="s">
        <v>298</v>
      </c>
      <c r="C9" s="299" t="s">
        <v>297</v>
      </c>
      <c r="D9" s="299" t="s">
        <v>483</v>
      </c>
      <c r="E9" s="141" t="s">
        <v>484</v>
      </c>
    </row>
    <row r="10" spans="1:6" ht="23.25" customHeight="1">
      <c r="A10" s="401"/>
      <c r="B10" s="299" t="s">
        <v>312</v>
      </c>
      <c r="C10" s="299" t="s">
        <v>298</v>
      </c>
      <c r="D10" s="299" t="s">
        <v>485</v>
      </c>
      <c r="E10" s="141" t="s">
        <v>484</v>
      </c>
    </row>
    <row r="11" spans="1:6" ht="23.25" customHeight="1">
      <c r="A11" s="401"/>
      <c r="B11" s="298" t="s">
        <v>317</v>
      </c>
      <c r="C11" s="299" t="s">
        <v>298</v>
      </c>
      <c r="D11" s="299" t="s">
        <v>486</v>
      </c>
      <c r="E11" s="141" t="s">
        <v>484</v>
      </c>
    </row>
    <row r="12" spans="1:6" ht="23.25" customHeight="1">
      <c r="A12" s="401"/>
      <c r="B12" s="299" t="s">
        <v>323</v>
      </c>
      <c r="C12" s="299" t="s">
        <v>317</v>
      </c>
      <c r="D12" s="299" t="s">
        <v>485</v>
      </c>
      <c r="E12" s="141" t="s">
        <v>484</v>
      </c>
    </row>
    <row r="13" spans="1:6" ht="23.25" customHeight="1">
      <c r="A13" s="401"/>
      <c r="B13" s="299" t="s">
        <v>326</v>
      </c>
      <c r="C13" s="299" t="s">
        <v>317</v>
      </c>
      <c r="D13" s="299" t="s">
        <v>487</v>
      </c>
      <c r="E13" s="141" t="s">
        <v>484</v>
      </c>
    </row>
    <row r="14" spans="1:6" ht="23.25" customHeight="1">
      <c r="A14" s="401"/>
      <c r="B14" s="299" t="s">
        <v>328</v>
      </c>
      <c r="C14" s="299" t="s">
        <v>317</v>
      </c>
      <c r="D14" s="299" t="s">
        <v>488</v>
      </c>
      <c r="E14" s="141" t="s">
        <v>484</v>
      </c>
    </row>
    <row r="15" spans="1:6" ht="23.25" customHeight="1">
      <c r="A15" s="401"/>
      <c r="B15" s="299" t="s">
        <v>329</v>
      </c>
      <c r="C15" s="299" t="s">
        <v>298</v>
      </c>
      <c r="D15" s="299" t="s">
        <v>7</v>
      </c>
      <c r="E15" s="141" t="s">
        <v>484</v>
      </c>
    </row>
    <row r="16" spans="1:6" ht="23.25" customHeight="1">
      <c r="A16" s="401"/>
      <c r="B16" s="299" t="s">
        <v>331</v>
      </c>
      <c r="C16" s="299" t="s">
        <v>298</v>
      </c>
      <c r="D16" s="299" t="s">
        <v>7</v>
      </c>
      <c r="E16" s="141" t="s">
        <v>484</v>
      </c>
    </row>
    <row r="17" spans="1:5" ht="23.25" customHeight="1">
      <c r="A17" s="401"/>
      <c r="B17" s="299" t="s">
        <v>333</v>
      </c>
      <c r="C17" s="299" t="s">
        <v>298</v>
      </c>
      <c r="D17" s="299" t="s">
        <v>7</v>
      </c>
      <c r="E17" s="141" t="s">
        <v>484</v>
      </c>
    </row>
    <row r="18" spans="1:5" ht="23.25" customHeight="1">
      <c r="A18" s="401"/>
      <c r="B18" s="299" t="s">
        <v>319</v>
      </c>
      <c r="C18" s="299" t="s">
        <v>298</v>
      </c>
      <c r="D18" s="299" t="s">
        <v>7</v>
      </c>
      <c r="E18" s="141" t="s">
        <v>484</v>
      </c>
    </row>
    <row r="19" spans="1:5" ht="23.25" customHeight="1">
      <c r="A19" s="401"/>
      <c r="B19" s="299" t="s">
        <v>321</v>
      </c>
      <c r="C19" s="299" t="s">
        <v>298</v>
      </c>
      <c r="D19" s="299" t="s">
        <v>489</v>
      </c>
      <c r="E19" s="141" t="s">
        <v>484</v>
      </c>
    </row>
    <row r="20" spans="1:5" ht="23.25" customHeight="1">
      <c r="A20" s="401"/>
      <c r="B20" s="299" t="s">
        <v>322</v>
      </c>
      <c r="C20" s="299" t="s">
        <v>298</v>
      </c>
      <c r="D20" s="299" t="s">
        <v>490</v>
      </c>
      <c r="E20" s="141" t="s">
        <v>484</v>
      </c>
    </row>
    <row r="21" spans="1:5" ht="23.25" customHeight="1">
      <c r="A21" s="401"/>
      <c r="B21" s="300" t="s">
        <v>301</v>
      </c>
      <c r="C21" s="301" t="s">
        <v>297</v>
      </c>
      <c r="D21" s="302" t="s">
        <v>491</v>
      </c>
      <c r="E21" s="141" t="s">
        <v>484</v>
      </c>
    </row>
    <row r="22" spans="1:5" ht="23.25" customHeight="1">
      <c r="A22" s="401"/>
      <c r="B22" s="301" t="s">
        <v>360</v>
      </c>
      <c r="C22" s="301" t="s">
        <v>301</v>
      </c>
      <c r="D22" s="301" t="s">
        <v>7</v>
      </c>
      <c r="E22" s="141" t="s">
        <v>484</v>
      </c>
    </row>
    <row r="23" spans="1:5" ht="23.25" customHeight="1">
      <c r="A23" s="401"/>
      <c r="B23" s="301" t="s">
        <v>363</v>
      </c>
      <c r="C23" s="301" t="s">
        <v>301</v>
      </c>
      <c r="D23" s="301" t="s">
        <v>7</v>
      </c>
      <c r="E23" s="141" t="s">
        <v>484</v>
      </c>
    </row>
    <row r="24" spans="1:5" ht="23.25" customHeight="1">
      <c r="A24" s="401"/>
      <c r="B24" s="301" t="s">
        <v>364</v>
      </c>
      <c r="C24" s="301" t="s">
        <v>301</v>
      </c>
      <c r="D24" s="301" t="s">
        <v>7</v>
      </c>
      <c r="E24" s="141" t="s">
        <v>484</v>
      </c>
    </row>
    <row r="25" spans="1:5" ht="23.25" customHeight="1">
      <c r="A25" s="401"/>
      <c r="B25" s="301" t="s">
        <v>366</v>
      </c>
      <c r="C25" s="301" t="s">
        <v>301</v>
      </c>
      <c r="D25" s="301" t="s">
        <v>492</v>
      </c>
      <c r="E25" s="141" t="s">
        <v>484</v>
      </c>
    </row>
    <row r="26" spans="1:5" ht="23.25" customHeight="1">
      <c r="A26" s="401"/>
      <c r="B26" s="301" t="s">
        <v>368</v>
      </c>
      <c r="C26" s="301" t="s">
        <v>301</v>
      </c>
      <c r="D26" s="301" t="s">
        <v>7</v>
      </c>
      <c r="E26" s="141" t="s">
        <v>484</v>
      </c>
    </row>
    <row r="27" spans="1:5" ht="23.25" customHeight="1">
      <c r="A27" s="401"/>
      <c r="B27" s="301" t="s">
        <v>370</v>
      </c>
      <c r="C27" s="301" t="s">
        <v>301</v>
      </c>
      <c r="D27" s="301" t="s">
        <v>7</v>
      </c>
      <c r="E27" s="141" t="s">
        <v>484</v>
      </c>
    </row>
    <row r="28" spans="1:5" ht="23.25" customHeight="1">
      <c r="A28" s="401"/>
      <c r="B28" s="301" t="s">
        <v>372</v>
      </c>
      <c r="C28" s="301" t="s">
        <v>301</v>
      </c>
      <c r="D28" s="301" t="s">
        <v>7</v>
      </c>
      <c r="E28" s="141" t="s">
        <v>484</v>
      </c>
    </row>
    <row r="29" spans="1:5" ht="23.25" customHeight="1">
      <c r="A29" s="401"/>
      <c r="B29" s="301" t="s">
        <v>374</v>
      </c>
      <c r="C29" s="301" t="s">
        <v>301</v>
      </c>
      <c r="D29" s="301" t="s">
        <v>7</v>
      </c>
      <c r="E29" s="141" t="s">
        <v>484</v>
      </c>
    </row>
    <row r="30" spans="1:5" ht="23.25" customHeight="1">
      <c r="A30" s="401"/>
      <c r="B30" s="301" t="s">
        <v>376</v>
      </c>
      <c r="C30" s="301" t="s">
        <v>301</v>
      </c>
      <c r="D30" s="301" t="s">
        <v>7</v>
      </c>
      <c r="E30" s="141" t="s">
        <v>484</v>
      </c>
    </row>
    <row r="31" spans="1:5" ht="23.25" customHeight="1">
      <c r="A31" s="401"/>
      <c r="B31" s="301" t="s">
        <v>378</v>
      </c>
      <c r="C31" s="301" t="s">
        <v>301</v>
      </c>
      <c r="D31" s="301" t="s">
        <v>493</v>
      </c>
      <c r="E31" s="141" t="s">
        <v>484</v>
      </c>
    </row>
    <row r="32" spans="1:5" ht="23.25" customHeight="1">
      <c r="A32" s="401"/>
      <c r="B32" s="298" t="s">
        <v>303</v>
      </c>
      <c r="C32" s="299" t="s">
        <v>297</v>
      </c>
      <c r="D32" s="299" t="s">
        <v>494</v>
      </c>
      <c r="E32" s="141" t="s">
        <v>495</v>
      </c>
    </row>
    <row r="33" spans="1:5" ht="23.25" customHeight="1">
      <c r="A33" s="401"/>
      <c r="B33" s="299" t="s">
        <v>337</v>
      </c>
      <c r="C33" s="299" t="s">
        <v>303</v>
      </c>
      <c r="D33" s="303" t="s">
        <v>496</v>
      </c>
      <c r="E33" s="141" t="s">
        <v>495</v>
      </c>
    </row>
    <row r="34" spans="1:5" ht="23.25" customHeight="1">
      <c r="A34" s="401"/>
      <c r="B34" s="299" t="s">
        <v>340</v>
      </c>
      <c r="C34" s="299" t="s">
        <v>303</v>
      </c>
      <c r="D34" s="299" t="s">
        <v>497</v>
      </c>
      <c r="E34" s="141" t="s">
        <v>495</v>
      </c>
    </row>
    <row r="35" spans="1:5" ht="23.25" customHeight="1">
      <c r="A35" s="401"/>
      <c r="B35" s="299" t="s">
        <v>342</v>
      </c>
      <c r="C35" s="299" t="s">
        <v>303</v>
      </c>
      <c r="D35" s="299" t="s">
        <v>498</v>
      </c>
      <c r="E35" s="141" t="s">
        <v>495</v>
      </c>
    </row>
    <row r="36" spans="1:5" ht="23.25" customHeight="1">
      <c r="A36" s="401"/>
      <c r="B36" s="299" t="s">
        <v>344</v>
      </c>
      <c r="C36" s="299" t="s">
        <v>303</v>
      </c>
      <c r="D36" s="299" t="s">
        <v>7</v>
      </c>
      <c r="E36" s="141" t="s">
        <v>495</v>
      </c>
    </row>
    <row r="37" spans="1:5" ht="23.25" customHeight="1">
      <c r="A37" s="401"/>
      <c r="B37" s="299" t="s">
        <v>346</v>
      </c>
      <c r="C37" s="299" t="s">
        <v>303</v>
      </c>
      <c r="D37" s="299" t="s">
        <v>7</v>
      </c>
      <c r="E37" s="141" t="s">
        <v>495</v>
      </c>
    </row>
    <row r="38" spans="1:5" ht="23.25" customHeight="1">
      <c r="A38" s="401"/>
      <c r="B38" s="298" t="s">
        <v>304</v>
      </c>
      <c r="C38" s="299" t="s">
        <v>297</v>
      </c>
      <c r="D38" s="299" t="s">
        <v>499</v>
      </c>
      <c r="E38" s="141" t="s">
        <v>495</v>
      </c>
    </row>
    <row r="39" spans="1:5" ht="23.25" customHeight="1">
      <c r="A39" s="401"/>
      <c r="B39" s="299" t="s">
        <v>348</v>
      </c>
      <c r="C39" s="299" t="s">
        <v>304</v>
      </c>
      <c r="D39" s="299" t="s">
        <v>500</v>
      </c>
      <c r="E39" s="141" t="s">
        <v>501</v>
      </c>
    </row>
    <row r="40" spans="1:5" ht="23.25" customHeight="1">
      <c r="A40" s="401"/>
      <c r="B40" s="299" t="s">
        <v>350</v>
      </c>
      <c r="C40" s="299" t="s">
        <v>304</v>
      </c>
      <c r="D40" s="299" t="s">
        <v>7</v>
      </c>
      <c r="E40" s="141" t="s">
        <v>495</v>
      </c>
    </row>
    <row r="41" spans="1:5" ht="23.25" customHeight="1">
      <c r="A41" s="401"/>
      <c r="B41" s="299" t="s">
        <v>353</v>
      </c>
      <c r="C41" s="299" t="s">
        <v>304</v>
      </c>
      <c r="D41" s="299" t="s">
        <v>502</v>
      </c>
      <c r="E41" s="141" t="s">
        <v>495</v>
      </c>
    </row>
    <row r="42" spans="1:5" ht="23.25" customHeight="1">
      <c r="A42" s="401"/>
      <c r="B42" s="299" t="s">
        <v>356</v>
      </c>
      <c r="C42" s="299" t="s">
        <v>304</v>
      </c>
      <c r="D42" s="299" t="s">
        <v>503</v>
      </c>
      <c r="E42" s="141" t="s">
        <v>495</v>
      </c>
    </row>
    <row r="43" spans="1:5" ht="23.25" customHeight="1">
      <c r="A43" s="401"/>
      <c r="B43" s="299" t="s">
        <v>357</v>
      </c>
      <c r="C43" s="299" t="s">
        <v>348</v>
      </c>
      <c r="D43" s="299" t="s">
        <v>504</v>
      </c>
      <c r="E43" s="141" t="s">
        <v>501</v>
      </c>
    </row>
    <row r="44" spans="1:5" ht="23.25" customHeight="1">
      <c r="A44" s="401"/>
      <c r="B44" s="298" t="s">
        <v>305</v>
      </c>
      <c r="C44" s="299" t="s">
        <v>297</v>
      </c>
      <c r="D44" s="299" t="s">
        <v>505</v>
      </c>
      <c r="E44" s="141" t="s">
        <v>506</v>
      </c>
    </row>
    <row r="45" spans="1:5" ht="23.25" customHeight="1">
      <c r="A45" s="401"/>
      <c r="B45" s="299" t="s">
        <v>379</v>
      </c>
      <c r="C45" s="299" t="s">
        <v>305</v>
      </c>
      <c r="D45" s="299" t="s">
        <v>507</v>
      </c>
      <c r="E45" s="141" t="s">
        <v>484</v>
      </c>
    </row>
    <row r="46" spans="1:5" ht="23.25" customHeight="1">
      <c r="A46" s="401"/>
      <c r="B46" s="299" t="s">
        <v>381</v>
      </c>
      <c r="C46" s="299" t="s">
        <v>305</v>
      </c>
      <c r="D46" s="299" t="s">
        <v>508</v>
      </c>
      <c r="E46" s="141" t="s">
        <v>506</v>
      </c>
    </row>
    <row r="47" spans="1:5" ht="23.25" customHeight="1">
      <c r="A47" s="401"/>
      <c r="B47" s="299" t="s">
        <v>382</v>
      </c>
      <c r="C47" s="299" t="s">
        <v>381</v>
      </c>
      <c r="D47" s="299" t="s">
        <v>7</v>
      </c>
      <c r="E47" s="141" t="s">
        <v>506</v>
      </c>
    </row>
    <row r="48" spans="1:5" ht="23.25" customHeight="1">
      <c r="A48" s="401"/>
      <c r="B48" s="299" t="s">
        <v>384</v>
      </c>
      <c r="C48" s="299" t="s">
        <v>381</v>
      </c>
      <c r="D48" s="299" t="s">
        <v>509</v>
      </c>
      <c r="E48" s="141" t="s">
        <v>506</v>
      </c>
    </row>
    <row r="49" spans="1:5" ht="23.25" customHeight="1">
      <c r="A49" s="401"/>
      <c r="B49" s="299" t="s">
        <v>386</v>
      </c>
      <c r="C49" s="299" t="s">
        <v>381</v>
      </c>
      <c r="D49" s="299" t="s">
        <v>510</v>
      </c>
      <c r="E49" s="141" t="s">
        <v>506</v>
      </c>
    </row>
    <row r="50" spans="1:5" ht="23.25" customHeight="1">
      <c r="A50" s="401"/>
      <c r="B50" s="299" t="s">
        <v>387</v>
      </c>
      <c r="C50" s="299" t="s">
        <v>381</v>
      </c>
      <c r="D50" s="299" t="s">
        <v>7</v>
      </c>
      <c r="E50" s="141" t="s">
        <v>506</v>
      </c>
    </row>
    <row r="51" spans="1:5" ht="23.25" customHeight="1">
      <c r="A51" s="401"/>
      <c r="B51" s="299" t="s">
        <v>389</v>
      </c>
      <c r="C51" s="299" t="s">
        <v>381</v>
      </c>
      <c r="D51" s="299" t="s">
        <v>7</v>
      </c>
      <c r="E51" s="141" t="s">
        <v>506</v>
      </c>
    </row>
    <row r="52" spans="1:5" ht="23.25" customHeight="1">
      <c r="A52" s="401"/>
      <c r="B52" s="298" t="s">
        <v>307</v>
      </c>
      <c r="C52" s="299" t="s">
        <v>297</v>
      </c>
      <c r="D52" s="299" t="s">
        <v>511</v>
      </c>
      <c r="E52" s="141" t="s">
        <v>512</v>
      </c>
    </row>
    <row r="53" spans="1:5" ht="23.25" customHeight="1">
      <c r="A53" s="401"/>
      <c r="B53" s="299" t="s">
        <v>391</v>
      </c>
      <c r="C53" s="299" t="s">
        <v>307</v>
      </c>
      <c r="D53" s="299" t="s">
        <v>513</v>
      </c>
      <c r="E53" s="141" t="s">
        <v>484</v>
      </c>
    </row>
    <row r="54" spans="1:5" ht="23.25" customHeight="1">
      <c r="A54" s="401"/>
      <c r="B54" s="299" t="s">
        <v>394</v>
      </c>
      <c r="C54" s="299" t="s">
        <v>307</v>
      </c>
      <c r="D54" s="299" t="s">
        <v>514</v>
      </c>
      <c r="E54" s="141" t="s">
        <v>512</v>
      </c>
    </row>
    <row r="55" spans="1:5" ht="23.25" customHeight="1">
      <c r="A55" s="401"/>
      <c r="B55" s="299" t="s">
        <v>397</v>
      </c>
      <c r="C55" s="299" t="s">
        <v>307</v>
      </c>
      <c r="D55" s="299" t="s">
        <v>515</v>
      </c>
      <c r="E55" s="141" t="s">
        <v>512</v>
      </c>
    </row>
    <row r="56" spans="1:5" ht="23.25" customHeight="1">
      <c r="A56" s="401"/>
      <c r="B56" s="304" t="s">
        <v>399</v>
      </c>
      <c r="C56" s="304" t="s">
        <v>471</v>
      </c>
      <c r="D56" s="304" t="s">
        <v>516</v>
      </c>
      <c r="E56" s="141" t="s">
        <v>473</v>
      </c>
    </row>
    <row r="57" spans="1:5" ht="23.25" customHeight="1">
      <c r="A57" s="401"/>
      <c r="B57" s="305" t="s">
        <v>402</v>
      </c>
      <c r="C57" s="304" t="s">
        <v>471</v>
      </c>
      <c r="D57" s="304" t="s">
        <v>499</v>
      </c>
      <c r="E57" s="141" t="s">
        <v>473</v>
      </c>
    </row>
    <row r="58" spans="1:5" ht="23.25" customHeight="1">
      <c r="A58" s="401"/>
      <c r="B58" s="304" t="s">
        <v>406</v>
      </c>
      <c r="C58" s="304" t="s">
        <v>402</v>
      </c>
      <c r="D58" s="304" t="s">
        <v>7</v>
      </c>
      <c r="E58" s="141" t="s">
        <v>473</v>
      </c>
    </row>
    <row r="59" spans="1:5" ht="23.25" customHeight="1">
      <c r="A59" s="401"/>
      <c r="B59" s="304" t="s">
        <v>409</v>
      </c>
      <c r="C59" s="304" t="s">
        <v>402</v>
      </c>
      <c r="D59" s="304" t="s">
        <v>503</v>
      </c>
      <c r="E59" s="141" t="s">
        <v>473</v>
      </c>
    </row>
    <row r="60" spans="1:5" ht="23.25" customHeight="1">
      <c r="A60" s="401"/>
      <c r="B60" s="304" t="s">
        <v>411</v>
      </c>
      <c r="C60" s="304" t="s">
        <v>402</v>
      </c>
      <c r="D60" s="304" t="s">
        <v>7</v>
      </c>
      <c r="E60" s="141" t="s">
        <v>473</v>
      </c>
    </row>
    <row r="61" spans="1:5" ht="23.25" customHeight="1">
      <c r="A61" s="401"/>
      <c r="B61" s="304" t="s">
        <v>413</v>
      </c>
      <c r="C61" s="304" t="s">
        <v>402</v>
      </c>
      <c r="D61" s="304" t="s">
        <v>517</v>
      </c>
      <c r="E61" s="141" t="s">
        <v>473</v>
      </c>
    </row>
    <row r="62" spans="1:5" ht="23.25" customHeight="1">
      <c r="A62" s="401"/>
      <c r="B62" s="304" t="s">
        <v>414</v>
      </c>
      <c r="C62" s="304" t="s">
        <v>402</v>
      </c>
      <c r="D62" s="304" t="s">
        <v>500</v>
      </c>
      <c r="E62" s="141" t="s">
        <v>473</v>
      </c>
    </row>
    <row r="63" spans="1:5" ht="23.25" customHeight="1">
      <c r="A63" s="401"/>
      <c r="B63" s="304" t="s">
        <v>415</v>
      </c>
      <c r="C63" s="304" t="s">
        <v>402</v>
      </c>
      <c r="D63" s="304" t="s">
        <v>504</v>
      </c>
      <c r="E63" s="141" t="s">
        <v>473</v>
      </c>
    </row>
    <row r="64" spans="1:5" ht="23.25" customHeight="1">
      <c r="A64" s="401"/>
      <c r="B64" s="304" t="s">
        <v>417</v>
      </c>
      <c r="C64" s="304" t="s">
        <v>402</v>
      </c>
      <c r="D64" s="304" t="s">
        <v>518</v>
      </c>
      <c r="E64" s="141" t="s">
        <v>473</v>
      </c>
    </row>
    <row r="65" spans="1:5" ht="23.25" customHeight="1">
      <c r="A65" s="401"/>
      <c r="B65" s="304" t="s">
        <v>419</v>
      </c>
      <c r="C65" s="304" t="s">
        <v>402</v>
      </c>
      <c r="D65" s="304" t="s">
        <v>503</v>
      </c>
      <c r="E65" s="141" t="s">
        <v>519</v>
      </c>
    </row>
    <row r="66" spans="1:5" ht="23.25" customHeight="1">
      <c r="A66" s="401"/>
      <c r="B66" s="304" t="s">
        <v>410</v>
      </c>
      <c r="C66" s="304" t="s">
        <v>413</v>
      </c>
      <c r="D66" s="304" t="s">
        <v>520</v>
      </c>
      <c r="E66" s="141" t="s">
        <v>473</v>
      </c>
    </row>
    <row r="67" spans="1:5" ht="23.25" customHeight="1">
      <c r="A67" s="401"/>
      <c r="B67" s="304" t="s">
        <v>309</v>
      </c>
      <c r="C67" s="304" t="s">
        <v>297</v>
      </c>
      <c r="D67" s="304" t="s">
        <v>521</v>
      </c>
      <c r="E67" s="141" t="s">
        <v>495</v>
      </c>
    </row>
    <row r="68" spans="1:5" ht="23.25" customHeight="1">
      <c r="A68" s="401"/>
      <c r="B68" s="305" t="s">
        <v>404</v>
      </c>
      <c r="C68" s="304" t="s">
        <v>471</v>
      </c>
      <c r="D68" s="304" t="s">
        <v>499</v>
      </c>
      <c r="E68" s="141" t="s">
        <v>473</v>
      </c>
    </row>
    <row r="69" spans="1:5" ht="23.25" customHeight="1">
      <c r="A69" s="401"/>
      <c r="B69" s="304" t="s">
        <v>420</v>
      </c>
      <c r="C69" s="304" t="s">
        <v>404</v>
      </c>
      <c r="D69" s="304" t="s">
        <v>522</v>
      </c>
      <c r="E69" s="141" t="s">
        <v>473</v>
      </c>
    </row>
    <row r="70" spans="1:5" ht="23.25" customHeight="1">
      <c r="A70" s="401"/>
      <c r="B70" s="304" t="s">
        <v>426</v>
      </c>
      <c r="C70" s="304" t="s">
        <v>404</v>
      </c>
      <c r="D70" s="304" t="s">
        <v>522</v>
      </c>
      <c r="E70" s="141" t="s">
        <v>473</v>
      </c>
    </row>
    <row r="71" spans="1:5" ht="23.25" customHeight="1">
      <c r="A71" s="401"/>
      <c r="B71" s="304" t="s">
        <v>427</v>
      </c>
      <c r="C71" s="304" t="s">
        <v>404</v>
      </c>
      <c r="D71" s="304" t="s">
        <v>523</v>
      </c>
      <c r="E71" s="141" t="s">
        <v>473</v>
      </c>
    </row>
    <row r="72" spans="1:5" ht="23.25" customHeight="1">
      <c r="A72" s="401"/>
      <c r="B72" s="304" t="s">
        <v>432</v>
      </c>
      <c r="C72" s="304" t="s">
        <v>404</v>
      </c>
      <c r="D72" s="304" t="s">
        <v>524</v>
      </c>
      <c r="E72" s="141" t="s">
        <v>473</v>
      </c>
    </row>
    <row r="73" spans="1:5" ht="23.25" customHeight="1">
      <c r="A73" s="401"/>
      <c r="B73" s="304" t="s">
        <v>436</v>
      </c>
      <c r="C73" s="304" t="s">
        <v>404</v>
      </c>
      <c r="D73" s="304" t="s">
        <v>494</v>
      </c>
      <c r="E73" s="141" t="s">
        <v>473</v>
      </c>
    </row>
    <row r="74" spans="1:5" ht="23.25" customHeight="1">
      <c r="A74" s="401"/>
      <c r="B74" s="304" t="s">
        <v>441</v>
      </c>
      <c r="C74" s="304" t="s">
        <v>404</v>
      </c>
      <c r="D74" s="304" t="s">
        <v>7</v>
      </c>
      <c r="E74" s="141" t="s">
        <v>473</v>
      </c>
    </row>
    <row r="75" spans="1:5" ht="23.25" customHeight="1">
      <c r="A75" s="401"/>
      <c r="B75" s="304" t="s">
        <v>422</v>
      </c>
      <c r="C75" s="304" t="s">
        <v>420</v>
      </c>
      <c r="D75" s="304" t="s">
        <v>7</v>
      </c>
      <c r="E75" s="141" t="s">
        <v>473</v>
      </c>
    </row>
    <row r="76" spans="1:5" ht="23.25" customHeight="1">
      <c r="A76" s="401"/>
      <c r="B76" s="304" t="s">
        <v>430</v>
      </c>
      <c r="C76" s="304" t="s">
        <v>420</v>
      </c>
      <c r="D76" s="304" t="s">
        <v>525</v>
      </c>
      <c r="E76" s="141" t="s">
        <v>473</v>
      </c>
    </row>
    <row r="77" spans="1:5" ht="23.25" customHeight="1">
      <c r="A77" s="401"/>
      <c r="B77" s="304" t="s">
        <v>435</v>
      </c>
      <c r="C77" s="304" t="s">
        <v>420</v>
      </c>
      <c r="D77" s="304" t="s">
        <v>526</v>
      </c>
      <c r="E77" s="141" t="s">
        <v>473</v>
      </c>
    </row>
    <row r="78" spans="1:5" ht="23.25" customHeight="1">
      <c r="A78" s="401"/>
      <c r="B78" s="304" t="s">
        <v>425</v>
      </c>
      <c r="C78" s="304" t="s">
        <v>426</v>
      </c>
      <c r="D78" s="304" t="s">
        <v>527</v>
      </c>
      <c r="E78" s="141" t="s">
        <v>473</v>
      </c>
    </row>
    <row r="79" spans="1:5" ht="23.25" customHeight="1">
      <c r="A79" s="401"/>
      <c r="B79" s="304" t="s">
        <v>428</v>
      </c>
      <c r="C79" s="304" t="s">
        <v>426</v>
      </c>
      <c r="D79" s="304" t="s">
        <v>528</v>
      </c>
      <c r="E79" s="141" t="s">
        <v>473</v>
      </c>
    </row>
    <row r="80" spans="1:5" ht="23.25" customHeight="1">
      <c r="A80" s="401"/>
      <c r="B80" s="304" t="s">
        <v>433</v>
      </c>
      <c r="C80" s="304" t="s">
        <v>426</v>
      </c>
      <c r="D80" s="304" t="s">
        <v>529</v>
      </c>
      <c r="E80" s="141" t="s">
        <v>473</v>
      </c>
    </row>
    <row r="81" spans="1:5" ht="23.25" customHeight="1">
      <c r="A81" s="401"/>
      <c r="B81" s="304" t="s">
        <v>443</v>
      </c>
      <c r="C81" s="304" t="s">
        <v>436</v>
      </c>
      <c r="D81" s="304" t="s">
        <v>520</v>
      </c>
      <c r="E81" s="141" t="s">
        <v>473</v>
      </c>
    </row>
    <row r="82" spans="1:5" ht="23.25" customHeight="1">
      <c r="A82" s="402"/>
      <c r="B82" s="304" t="s">
        <v>438</v>
      </c>
      <c r="C82" s="304" t="s">
        <v>436</v>
      </c>
      <c r="D82" s="304" t="s">
        <v>530</v>
      </c>
      <c r="E82" s="141" t="s">
        <v>473</v>
      </c>
    </row>
    <row r="83" spans="1:5" ht="23.25" customHeight="1">
      <c r="A83" s="398" t="s">
        <v>531</v>
      </c>
      <c r="B83" s="306" t="s">
        <v>54</v>
      </c>
      <c r="C83" s="307" t="s">
        <v>34</v>
      </c>
      <c r="D83" s="307" t="s">
        <v>532</v>
      </c>
      <c r="E83" s="141" t="s">
        <v>475</v>
      </c>
    </row>
    <row r="84" spans="1:5" ht="23.25" customHeight="1">
      <c r="A84" s="396"/>
      <c r="B84" s="306" t="s">
        <v>65</v>
      </c>
      <c r="C84" s="307" t="s">
        <v>34</v>
      </c>
      <c r="D84" s="307" t="s">
        <v>533</v>
      </c>
      <c r="E84" s="141" t="s">
        <v>475</v>
      </c>
    </row>
    <row r="85" spans="1:5" ht="23.25" customHeight="1">
      <c r="A85" s="396"/>
      <c r="B85" s="306" t="s">
        <v>51</v>
      </c>
      <c r="C85" s="306" t="s">
        <v>65</v>
      </c>
      <c r="D85" s="307" t="s">
        <v>534</v>
      </c>
      <c r="E85" s="141" t="s">
        <v>475</v>
      </c>
    </row>
    <row r="86" spans="1:5" ht="23.25" customHeight="1">
      <c r="A86" s="396"/>
      <c r="B86" s="306" t="s">
        <v>58</v>
      </c>
      <c r="C86" s="306" t="s">
        <v>65</v>
      </c>
      <c r="D86" s="307" t="s">
        <v>114</v>
      </c>
      <c r="E86" s="141" t="s">
        <v>475</v>
      </c>
    </row>
    <row r="87" spans="1:5" ht="32.25" customHeight="1">
      <c r="A87" s="396"/>
      <c r="B87" s="306" t="s">
        <v>62</v>
      </c>
      <c r="C87" s="306" t="s">
        <v>65</v>
      </c>
      <c r="D87" s="307" t="s">
        <v>534</v>
      </c>
      <c r="E87" s="141" t="s">
        <v>475</v>
      </c>
    </row>
    <row r="88" spans="1:5" ht="23.25" customHeight="1">
      <c r="A88" s="396"/>
      <c r="B88" s="306" t="s">
        <v>69</v>
      </c>
      <c r="C88" s="306" t="s">
        <v>65</v>
      </c>
      <c r="D88" s="307" t="s">
        <v>534</v>
      </c>
      <c r="E88" s="141" t="s">
        <v>475</v>
      </c>
    </row>
    <row r="89" spans="1:5" ht="23.25" customHeight="1">
      <c r="A89" s="396"/>
      <c r="B89" s="306" t="s">
        <v>72</v>
      </c>
      <c r="C89" s="306" t="s">
        <v>65</v>
      </c>
      <c r="D89" s="307" t="s">
        <v>534</v>
      </c>
      <c r="E89" s="141" t="s">
        <v>475</v>
      </c>
    </row>
    <row r="90" spans="1:5" ht="23.25" customHeight="1">
      <c r="A90" s="396"/>
      <c r="B90" s="306" t="s">
        <v>75</v>
      </c>
      <c r="C90" s="306" t="s">
        <v>65</v>
      </c>
      <c r="D90" s="307" t="s">
        <v>534</v>
      </c>
      <c r="E90" s="141" t="s">
        <v>475</v>
      </c>
    </row>
    <row r="91" spans="1:5" ht="23.25" customHeight="1">
      <c r="A91" s="396"/>
      <c r="B91" s="306" t="s">
        <v>78</v>
      </c>
      <c r="C91" s="306" t="s">
        <v>65</v>
      </c>
      <c r="D91" s="307" t="s">
        <v>85</v>
      </c>
      <c r="E91" s="141" t="s">
        <v>475</v>
      </c>
    </row>
    <row r="92" spans="1:5" ht="23.25" customHeight="1">
      <c r="A92" s="396"/>
      <c r="B92" s="306" t="s">
        <v>82</v>
      </c>
      <c r="C92" s="306" t="s">
        <v>65</v>
      </c>
      <c r="D92" s="307" t="s">
        <v>534</v>
      </c>
      <c r="E92" s="141" t="s">
        <v>475</v>
      </c>
    </row>
    <row r="93" spans="1:5" ht="23.25" customHeight="1">
      <c r="A93" s="396"/>
      <c r="B93" s="306" t="s">
        <v>35</v>
      </c>
      <c r="C93" s="306" t="s">
        <v>65</v>
      </c>
      <c r="D93" s="307" t="s">
        <v>534</v>
      </c>
      <c r="E93" s="141" t="s">
        <v>475</v>
      </c>
    </row>
    <row r="94" spans="1:5" ht="32.25" customHeight="1">
      <c r="A94" s="396"/>
      <c r="B94" s="308" t="s">
        <v>42</v>
      </c>
      <c r="C94" s="309" t="s">
        <v>34</v>
      </c>
      <c r="D94" s="309" t="s">
        <v>47</v>
      </c>
      <c r="E94" s="141" t="s">
        <v>535</v>
      </c>
    </row>
    <row r="95" spans="1:5" ht="23.25" customHeight="1">
      <c r="A95" s="396"/>
      <c r="B95" s="309" t="s">
        <v>129</v>
      </c>
      <c r="C95" s="309" t="s">
        <v>42</v>
      </c>
      <c r="D95" s="309" t="s">
        <v>108</v>
      </c>
      <c r="E95" s="141" t="s">
        <v>535</v>
      </c>
    </row>
    <row r="96" spans="1:5" ht="23.25" customHeight="1">
      <c r="A96" s="396"/>
      <c r="B96" s="309" t="s">
        <v>99</v>
      </c>
      <c r="C96" s="309" t="s">
        <v>42</v>
      </c>
      <c r="D96" s="309" t="s">
        <v>536</v>
      </c>
      <c r="E96" s="141" t="s">
        <v>535</v>
      </c>
    </row>
    <row r="97" spans="1:5" ht="23.25" customHeight="1">
      <c r="A97" s="396"/>
      <c r="B97" s="309" t="s">
        <v>107</v>
      </c>
      <c r="C97" s="309" t="s">
        <v>42</v>
      </c>
      <c r="D97" s="309" t="s">
        <v>108</v>
      </c>
      <c r="E97" s="141" t="s">
        <v>535</v>
      </c>
    </row>
    <row r="98" spans="1:5" ht="23.25" customHeight="1">
      <c r="A98" s="396"/>
      <c r="B98" s="309" t="s">
        <v>111</v>
      </c>
      <c r="C98" s="309" t="s">
        <v>42</v>
      </c>
      <c r="D98" s="309" t="s">
        <v>112</v>
      </c>
      <c r="E98" s="141" t="s">
        <v>535</v>
      </c>
    </row>
    <row r="99" spans="1:5" ht="23.25" customHeight="1">
      <c r="A99" s="396"/>
      <c r="B99" s="309" t="s">
        <v>121</v>
      </c>
      <c r="C99" s="309" t="s">
        <v>42</v>
      </c>
      <c r="D99" s="309" t="s">
        <v>112</v>
      </c>
      <c r="E99" s="141" t="s">
        <v>535</v>
      </c>
    </row>
    <row r="100" spans="1:5" ht="23.25" customHeight="1">
      <c r="A100" s="396"/>
      <c r="B100" s="309" t="s">
        <v>89</v>
      </c>
      <c r="C100" s="309" t="s">
        <v>129</v>
      </c>
      <c r="D100" s="309" t="s">
        <v>90</v>
      </c>
      <c r="E100" s="141" t="s">
        <v>535</v>
      </c>
    </row>
    <row r="101" spans="1:5" ht="23.25" customHeight="1">
      <c r="A101" s="396"/>
      <c r="B101" s="309" t="s">
        <v>96</v>
      </c>
      <c r="C101" s="309" t="s">
        <v>129</v>
      </c>
      <c r="D101" s="309" t="s">
        <v>59</v>
      </c>
      <c r="E101" s="141" t="s">
        <v>535</v>
      </c>
    </row>
    <row r="102" spans="1:5" ht="23.25" customHeight="1">
      <c r="A102" s="396"/>
      <c r="B102" s="309" t="s">
        <v>103</v>
      </c>
      <c r="C102" s="309" t="s">
        <v>129</v>
      </c>
      <c r="D102" s="309" t="s">
        <v>59</v>
      </c>
      <c r="E102" s="141" t="s">
        <v>535</v>
      </c>
    </row>
    <row r="103" spans="1:5" ht="23.25" customHeight="1">
      <c r="A103" s="396"/>
      <c r="B103" s="309" t="s">
        <v>109</v>
      </c>
      <c r="C103" s="309" t="s">
        <v>129</v>
      </c>
      <c r="D103" s="309" t="s">
        <v>59</v>
      </c>
      <c r="E103" s="141" t="s">
        <v>535</v>
      </c>
    </row>
    <row r="104" spans="1:5" ht="23.25" customHeight="1">
      <c r="A104" s="396"/>
      <c r="B104" s="309" t="s">
        <v>118</v>
      </c>
      <c r="C104" s="309" t="s">
        <v>129</v>
      </c>
      <c r="D104" s="309" t="s">
        <v>59</v>
      </c>
      <c r="E104" s="141" t="s">
        <v>535</v>
      </c>
    </row>
    <row r="105" spans="1:5" ht="23.25" customHeight="1">
      <c r="A105" s="396"/>
      <c r="B105" s="309" t="s">
        <v>122</v>
      </c>
      <c r="C105" s="309" t="s">
        <v>129</v>
      </c>
      <c r="D105" s="309" t="s">
        <v>85</v>
      </c>
      <c r="E105" s="141" t="s">
        <v>535</v>
      </c>
    </row>
    <row r="106" spans="1:5" ht="23.25" customHeight="1">
      <c r="A106" s="396"/>
      <c r="B106" s="309" t="s">
        <v>124</v>
      </c>
      <c r="C106" s="309" t="s">
        <v>129</v>
      </c>
      <c r="D106" s="309" t="s">
        <v>114</v>
      </c>
      <c r="E106" s="141" t="s">
        <v>535</v>
      </c>
    </row>
    <row r="107" spans="1:5" ht="23.25" customHeight="1">
      <c r="A107" s="396"/>
      <c r="B107" s="309" t="s">
        <v>84</v>
      </c>
      <c r="C107" s="309" t="s">
        <v>107</v>
      </c>
      <c r="D107" s="309" t="s">
        <v>85</v>
      </c>
      <c r="E107" s="141" t="s">
        <v>535</v>
      </c>
    </row>
    <row r="108" spans="1:5" ht="23.25" customHeight="1">
      <c r="A108" s="396"/>
      <c r="B108" s="309" t="s">
        <v>93</v>
      </c>
      <c r="C108" s="309" t="s">
        <v>107</v>
      </c>
      <c r="D108" s="309" t="s">
        <v>94</v>
      </c>
      <c r="E108" s="141" t="s">
        <v>535</v>
      </c>
    </row>
    <row r="109" spans="1:5" ht="23.25" customHeight="1">
      <c r="A109" s="396"/>
      <c r="B109" s="309" t="s">
        <v>105</v>
      </c>
      <c r="C109" s="309" t="s">
        <v>107</v>
      </c>
      <c r="D109" s="309" t="s">
        <v>59</v>
      </c>
      <c r="E109" s="141" t="s">
        <v>535</v>
      </c>
    </row>
    <row r="110" spans="1:5" ht="23.25" customHeight="1">
      <c r="A110" s="396"/>
      <c r="B110" s="309" t="s">
        <v>113</v>
      </c>
      <c r="C110" s="309" t="s">
        <v>107</v>
      </c>
      <c r="D110" s="309" t="s">
        <v>114</v>
      </c>
      <c r="E110" s="141" t="s">
        <v>535</v>
      </c>
    </row>
    <row r="111" spans="1:5" ht="23.25" customHeight="1">
      <c r="A111" s="396"/>
      <c r="B111" s="309" t="s">
        <v>116</v>
      </c>
      <c r="C111" s="309" t="s">
        <v>107</v>
      </c>
      <c r="D111" s="309" t="s">
        <v>85</v>
      </c>
      <c r="E111" s="141" t="s">
        <v>535</v>
      </c>
    </row>
    <row r="112" spans="1:5" ht="23.25" customHeight="1">
      <c r="A112" s="396"/>
      <c r="B112" s="309" t="s">
        <v>126</v>
      </c>
      <c r="C112" s="309" t="s">
        <v>107</v>
      </c>
      <c r="D112" s="309" t="s">
        <v>59</v>
      </c>
      <c r="E112" s="141" t="s">
        <v>535</v>
      </c>
    </row>
    <row r="113" spans="1:5" ht="23.25" customHeight="1">
      <c r="A113" s="396"/>
      <c r="B113" s="309" t="s">
        <v>128</v>
      </c>
      <c r="C113" s="309" t="s">
        <v>107</v>
      </c>
      <c r="D113" s="309" t="s">
        <v>85</v>
      </c>
      <c r="E113" s="141" t="s">
        <v>535</v>
      </c>
    </row>
    <row r="114" spans="1:5" ht="23.25" customHeight="1">
      <c r="A114" s="396"/>
      <c r="B114" s="310" t="s">
        <v>46</v>
      </c>
      <c r="C114" s="311" t="s">
        <v>34</v>
      </c>
      <c r="D114" s="311" t="s">
        <v>47</v>
      </c>
      <c r="E114" s="141" t="s">
        <v>537</v>
      </c>
    </row>
    <row r="115" spans="1:5" ht="23.25" customHeight="1">
      <c r="A115" s="396"/>
      <c r="B115" s="311" t="s">
        <v>131</v>
      </c>
      <c r="C115" s="311" t="s">
        <v>46</v>
      </c>
      <c r="D115" s="311" t="s">
        <v>112</v>
      </c>
      <c r="E115" s="141" t="s">
        <v>538</v>
      </c>
    </row>
    <row r="116" spans="1:5" ht="23.25" customHeight="1">
      <c r="A116" s="396"/>
      <c r="B116" s="311" t="s">
        <v>163</v>
      </c>
      <c r="C116" s="311" t="s">
        <v>46</v>
      </c>
      <c r="D116" s="311" t="s">
        <v>164</v>
      </c>
      <c r="E116" s="141" t="s">
        <v>539</v>
      </c>
    </row>
    <row r="117" spans="1:5" ht="23.25" customHeight="1">
      <c r="A117" s="396"/>
      <c r="B117" s="311" t="s">
        <v>139</v>
      </c>
      <c r="C117" s="311" t="s">
        <v>46</v>
      </c>
      <c r="D117" s="311" t="s">
        <v>140</v>
      </c>
      <c r="E117" s="141" t="s">
        <v>538</v>
      </c>
    </row>
    <row r="118" spans="1:5" ht="23.25" customHeight="1">
      <c r="A118" s="396"/>
      <c r="B118" s="311" t="s">
        <v>159</v>
      </c>
      <c r="C118" s="311" t="s">
        <v>46</v>
      </c>
      <c r="D118" s="311" t="s">
        <v>160</v>
      </c>
      <c r="E118" s="141" t="s">
        <v>537</v>
      </c>
    </row>
    <row r="119" spans="1:5" ht="23.25" customHeight="1">
      <c r="A119" s="396"/>
      <c r="B119" s="311" t="s">
        <v>134</v>
      </c>
      <c r="C119" s="311" t="s">
        <v>46</v>
      </c>
      <c r="D119" s="311" t="s">
        <v>59</v>
      </c>
      <c r="E119" s="141" t="s">
        <v>537</v>
      </c>
    </row>
    <row r="120" spans="1:5" ht="23.25" customHeight="1">
      <c r="A120" s="396"/>
      <c r="B120" s="311" t="s">
        <v>153</v>
      </c>
      <c r="C120" s="311" t="s">
        <v>46</v>
      </c>
      <c r="D120" s="311" t="s">
        <v>94</v>
      </c>
      <c r="E120" s="141" t="s">
        <v>537</v>
      </c>
    </row>
    <row r="121" spans="1:5" ht="23.25" customHeight="1">
      <c r="A121" s="396"/>
      <c r="B121" s="311" t="s">
        <v>136</v>
      </c>
      <c r="C121" s="311" t="s">
        <v>163</v>
      </c>
      <c r="D121" s="311" t="s">
        <v>85</v>
      </c>
      <c r="E121" s="141" t="s">
        <v>537</v>
      </c>
    </row>
    <row r="122" spans="1:5" ht="23.25" customHeight="1">
      <c r="A122" s="396"/>
      <c r="B122" s="311" t="s">
        <v>141</v>
      </c>
      <c r="C122" s="311" t="s">
        <v>163</v>
      </c>
      <c r="D122" s="311" t="s">
        <v>59</v>
      </c>
      <c r="E122" s="141" t="s">
        <v>537</v>
      </c>
    </row>
    <row r="123" spans="1:5" ht="23.25" customHeight="1">
      <c r="A123" s="396"/>
      <c r="B123" s="311" t="s">
        <v>170</v>
      </c>
      <c r="C123" s="311" t="s">
        <v>163</v>
      </c>
      <c r="D123" s="311" t="s">
        <v>85</v>
      </c>
      <c r="E123" s="141" t="s">
        <v>537</v>
      </c>
    </row>
    <row r="124" spans="1:5" ht="23.25" customHeight="1">
      <c r="A124" s="396"/>
      <c r="B124" s="311" t="s">
        <v>146</v>
      </c>
      <c r="C124" s="311" t="s">
        <v>163</v>
      </c>
      <c r="D124" s="311" t="s">
        <v>114</v>
      </c>
      <c r="E124" s="141" t="s">
        <v>537</v>
      </c>
    </row>
    <row r="125" spans="1:5" ht="23.25" customHeight="1">
      <c r="A125" s="396"/>
      <c r="B125" s="311" t="s">
        <v>149</v>
      </c>
      <c r="C125" s="311" t="s">
        <v>139</v>
      </c>
      <c r="D125" s="311" t="s">
        <v>59</v>
      </c>
      <c r="E125" s="141" t="s">
        <v>537</v>
      </c>
    </row>
    <row r="126" spans="1:5" ht="23.25" customHeight="1">
      <c r="A126" s="396"/>
      <c r="B126" s="311" t="s">
        <v>151</v>
      </c>
      <c r="C126" s="311" t="s">
        <v>139</v>
      </c>
      <c r="D126" s="311" t="s">
        <v>59</v>
      </c>
      <c r="E126" s="141" t="s">
        <v>537</v>
      </c>
    </row>
    <row r="127" spans="1:5" ht="23.25" customHeight="1">
      <c r="A127" s="396"/>
      <c r="B127" s="311" t="s">
        <v>144</v>
      </c>
      <c r="C127" s="311" t="s">
        <v>139</v>
      </c>
      <c r="D127" s="311" t="s">
        <v>59</v>
      </c>
      <c r="E127" s="141" t="s">
        <v>537</v>
      </c>
    </row>
    <row r="128" spans="1:5" ht="23.25" customHeight="1">
      <c r="A128" s="396"/>
      <c r="B128" s="311" t="s">
        <v>155</v>
      </c>
      <c r="C128" s="311" t="s">
        <v>139</v>
      </c>
      <c r="D128" s="311" t="s">
        <v>59</v>
      </c>
      <c r="E128" s="141" t="s">
        <v>537</v>
      </c>
    </row>
    <row r="129" spans="1:5" ht="23.25" customHeight="1">
      <c r="A129" s="396"/>
      <c r="B129" s="311" t="s">
        <v>157</v>
      </c>
      <c r="C129" s="311" t="s">
        <v>139</v>
      </c>
      <c r="D129" s="311" t="s">
        <v>94</v>
      </c>
      <c r="E129" s="141" t="s">
        <v>537</v>
      </c>
    </row>
    <row r="130" spans="1:5" ht="23.25" customHeight="1">
      <c r="A130" s="396"/>
      <c r="B130" s="311" t="s">
        <v>165</v>
      </c>
      <c r="C130" s="311" t="s">
        <v>131</v>
      </c>
      <c r="D130" s="311" t="s">
        <v>59</v>
      </c>
      <c r="E130" s="141" t="s">
        <v>537</v>
      </c>
    </row>
    <row r="131" spans="1:5" ht="23.25" customHeight="1">
      <c r="A131" s="396"/>
      <c r="B131" s="311" t="s">
        <v>168</v>
      </c>
      <c r="C131" s="311" t="s">
        <v>131</v>
      </c>
      <c r="D131" s="311" t="s">
        <v>59</v>
      </c>
      <c r="E131" s="141" t="s">
        <v>537</v>
      </c>
    </row>
    <row r="132" spans="1:5" ht="23.25" customHeight="1">
      <c r="A132" s="396"/>
      <c r="B132" s="312" t="s">
        <v>282</v>
      </c>
      <c r="C132" s="313" t="s">
        <v>34</v>
      </c>
      <c r="D132" s="313" t="s">
        <v>47</v>
      </c>
      <c r="E132" s="141" t="s">
        <v>535</v>
      </c>
    </row>
    <row r="133" spans="1:5" ht="23.25" customHeight="1">
      <c r="A133" s="396"/>
      <c r="B133" s="313" t="s">
        <v>179</v>
      </c>
      <c r="C133" s="314" t="s">
        <v>49</v>
      </c>
      <c r="D133" s="313" t="s">
        <v>59</v>
      </c>
      <c r="E133" s="141" t="s">
        <v>535</v>
      </c>
    </row>
    <row r="134" spans="1:5" ht="23.25" customHeight="1">
      <c r="A134" s="396"/>
      <c r="B134" s="313" t="s">
        <v>185</v>
      </c>
      <c r="C134" s="314" t="s">
        <v>49</v>
      </c>
      <c r="D134" s="313" t="s">
        <v>59</v>
      </c>
      <c r="E134" s="141" t="s">
        <v>535</v>
      </c>
    </row>
    <row r="135" spans="1:5" ht="23.25" customHeight="1">
      <c r="A135" s="396"/>
      <c r="B135" s="313" t="s">
        <v>196</v>
      </c>
      <c r="C135" s="314" t="s">
        <v>49</v>
      </c>
      <c r="D135" s="313" t="s">
        <v>112</v>
      </c>
      <c r="E135" s="141" t="s">
        <v>535</v>
      </c>
    </row>
    <row r="136" spans="1:5" ht="23.25" customHeight="1">
      <c r="A136" s="396"/>
      <c r="B136" s="313" t="s">
        <v>198</v>
      </c>
      <c r="C136" s="314" t="s">
        <v>49</v>
      </c>
      <c r="D136" s="313" t="s">
        <v>140</v>
      </c>
      <c r="E136" s="141" t="s">
        <v>535</v>
      </c>
    </row>
    <row r="137" spans="1:5" ht="23.25" customHeight="1">
      <c r="A137" s="396"/>
      <c r="B137" s="313" t="s">
        <v>203</v>
      </c>
      <c r="C137" s="314" t="s">
        <v>49</v>
      </c>
      <c r="D137" s="313" t="s">
        <v>94</v>
      </c>
      <c r="E137" s="141" t="s">
        <v>535</v>
      </c>
    </row>
    <row r="138" spans="1:5" ht="23.25" customHeight="1">
      <c r="A138" s="396"/>
      <c r="B138" s="313" t="s">
        <v>207</v>
      </c>
      <c r="C138" s="314" t="s">
        <v>49</v>
      </c>
      <c r="D138" s="313" t="s">
        <v>208</v>
      </c>
      <c r="E138" s="141" t="s">
        <v>535</v>
      </c>
    </row>
    <row r="139" spans="1:5" ht="23.25" customHeight="1">
      <c r="A139" s="396"/>
      <c r="B139" s="313" t="s">
        <v>210</v>
      </c>
      <c r="C139" s="314" t="s">
        <v>49</v>
      </c>
      <c r="D139" s="313" t="s">
        <v>164</v>
      </c>
      <c r="E139" s="141" t="s">
        <v>535</v>
      </c>
    </row>
    <row r="140" spans="1:5" ht="23.25" customHeight="1">
      <c r="A140" s="396"/>
      <c r="B140" s="313" t="s">
        <v>211</v>
      </c>
      <c r="C140" s="314" t="s">
        <v>49</v>
      </c>
      <c r="D140" s="313" t="s">
        <v>112</v>
      </c>
      <c r="E140" s="141" t="s">
        <v>475</v>
      </c>
    </row>
    <row r="141" spans="1:5" ht="23.25" customHeight="1">
      <c r="A141" s="396"/>
      <c r="B141" s="313" t="s">
        <v>222</v>
      </c>
      <c r="C141" s="314" t="s">
        <v>49</v>
      </c>
      <c r="D141" s="313" t="s">
        <v>140</v>
      </c>
      <c r="E141" s="141" t="s">
        <v>475</v>
      </c>
    </row>
    <row r="142" spans="1:5" ht="23.25" customHeight="1">
      <c r="A142" s="396"/>
      <c r="B142" s="313" t="s">
        <v>223</v>
      </c>
      <c r="C142" s="314" t="s">
        <v>49</v>
      </c>
      <c r="D142" s="313" t="s">
        <v>112</v>
      </c>
      <c r="E142" s="141" t="s">
        <v>535</v>
      </c>
    </row>
    <row r="143" spans="1:5" ht="23.25" customHeight="1">
      <c r="A143" s="396"/>
      <c r="B143" s="313" t="s">
        <v>237</v>
      </c>
      <c r="C143" s="314" t="s">
        <v>49</v>
      </c>
      <c r="D143" s="313" t="s">
        <v>112</v>
      </c>
      <c r="E143" s="141" t="s">
        <v>535</v>
      </c>
    </row>
    <row r="144" spans="1:5" ht="23.25" customHeight="1">
      <c r="A144" s="396"/>
      <c r="B144" s="313" t="s">
        <v>244</v>
      </c>
      <c r="C144" s="314" t="s">
        <v>49</v>
      </c>
      <c r="D144" s="313" t="s">
        <v>140</v>
      </c>
      <c r="E144" s="141" t="s">
        <v>535</v>
      </c>
    </row>
    <row r="145" spans="1:5" ht="23.25" customHeight="1">
      <c r="A145" s="396"/>
      <c r="B145" s="313" t="s">
        <v>183</v>
      </c>
      <c r="C145" s="314" t="s">
        <v>244</v>
      </c>
      <c r="D145" s="313" t="s">
        <v>59</v>
      </c>
      <c r="E145" s="141" t="s">
        <v>535</v>
      </c>
    </row>
    <row r="146" spans="1:5" ht="23.25" customHeight="1">
      <c r="A146" s="396"/>
      <c r="B146" s="313" t="s">
        <v>187</v>
      </c>
      <c r="C146" s="314" t="s">
        <v>244</v>
      </c>
      <c r="D146" s="313" t="s">
        <v>114</v>
      </c>
      <c r="E146" s="141" t="s">
        <v>535</v>
      </c>
    </row>
    <row r="147" spans="1:5" ht="23.25" customHeight="1">
      <c r="A147" s="396"/>
      <c r="B147" s="313" t="s">
        <v>192</v>
      </c>
      <c r="C147" s="314" t="s">
        <v>244</v>
      </c>
      <c r="D147" s="313" t="s">
        <v>59</v>
      </c>
      <c r="E147" s="141" t="s">
        <v>535</v>
      </c>
    </row>
    <row r="148" spans="1:5" ht="23.25" customHeight="1">
      <c r="A148" s="396"/>
      <c r="B148" s="313" t="s">
        <v>194</v>
      </c>
      <c r="C148" s="314" t="s">
        <v>244</v>
      </c>
      <c r="D148" s="313" t="s">
        <v>114</v>
      </c>
      <c r="E148" s="141" t="s">
        <v>535</v>
      </c>
    </row>
    <row r="149" spans="1:5" ht="23.25" customHeight="1">
      <c r="A149" s="396"/>
      <c r="B149" s="313" t="s">
        <v>205</v>
      </c>
      <c r="C149" s="314" t="s">
        <v>244</v>
      </c>
      <c r="D149" s="313" t="s">
        <v>59</v>
      </c>
      <c r="E149" s="141" t="s">
        <v>535</v>
      </c>
    </row>
    <row r="150" spans="1:5" ht="23.25" customHeight="1">
      <c r="A150" s="396"/>
      <c r="B150" s="313" t="s">
        <v>218</v>
      </c>
      <c r="C150" s="314" t="s">
        <v>244</v>
      </c>
      <c r="D150" s="313" t="s">
        <v>59</v>
      </c>
      <c r="E150" s="141" t="s">
        <v>535</v>
      </c>
    </row>
    <row r="151" spans="1:5" ht="23.25" customHeight="1">
      <c r="A151" s="396"/>
      <c r="B151" s="313" t="s">
        <v>220</v>
      </c>
      <c r="C151" s="314" t="s">
        <v>244</v>
      </c>
      <c r="D151" s="313" t="s">
        <v>59</v>
      </c>
      <c r="E151" s="141" t="s">
        <v>535</v>
      </c>
    </row>
    <row r="152" spans="1:5" ht="23.25" customHeight="1">
      <c r="A152" s="396"/>
      <c r="B152" s="313" t="s">
        <v>231</v>
      </c>
      <c r="C152" s="314" t="s">
        <v>244</v>
      </c>
      <c r="D152" s="313" t="s">
        <v>85</v>
      </c>
      <c r="E152" s="141" t="s">
        <v>535</v>
      </c>
    </row>
    <row r="153" spans="1:5" ht="23.25" customHeight="1">
      <c r="A153" s="396"/>
      <c r="B153" s="313" t="s">
        <v>235</v>
      </c>
      <c r="C153" s="314" t="s">
        <v>244</v>
      </c>
      <c r="D153" s="313" t="s">
        <v>59</v>
      </c>
      <c r="E153" s="141" t="s">
        <v>535</v>
      </c>
    </row>
    <row r="154" spans="1:5" ht="23.25" customHeight="1">
      <c r="A154" s="396"/>
      <c r="B154" s="313" t="s">
        <v>252</v>
      </c>
      <c r="C154" s="314" t="s">
        <v>244</v>
      </c>
      <c r="D154" s="313" t="s">
        <v>59</v>
      </c>
      <c r="E154" s="141" t="s">
        <v>535</v>
      </c>
    </row>
    <row r="155" spans="1:5" ht="23.25" customHeight="1">
      <c r="A155" s="396"/>
      <c r="B155" s="313" t="s">
        <v>258</v>
      </c>
      <c r="C155" s="314" t="s">
        <v>244</v>
      </c>
      <c r="D155" s="313" t="s">
        <v>59</v>
      </c>
      <c r="E155" s="141" t="s">
        <v>535</v>
      </c>
    </row>
    <row r="156" spans="1:5" ht="23.25" customHeight="1">
      <c r="A156" s="396"/>
      <c r="B156" s="313" t="s">
        <v>262</v>
      </c>
      <c r="C156" s="314" t="s">
        <v>244</v>
      </c>
      <c r="D156" s="313" t="s">
        <v>59</v>
      </c>
      <c r="E156" s="141" t="s">
        <v>535</v>
      </c>
    </row>
    <row r="157" spans="1:5" ht="23.25" customHeight="1">
      <c r="A157" s="396"/>
      <c r="B157" s="313" t="s">
        <v>264</v>
      </c>
      <c r="C157" s="314" t="s">
        <v>244</v>
      </c>
      <c r="D157" s="313" t="s">
        <v>59</v>
      </c>
      <c r="E157" s="141" t="s">
        <v>535</v>
      </c>
    </row>
    <row r="158" spans="1:5" ht="23.25" customHeight="1">
      <c r="A158" s="396"/>
      <c r="B158" s="313" t="s">
        <v>189</v>
      </c>
      <c r="C158" s="314" t="s">
        <v>222</v>
      </c>
      <c r="D158" s="313" t="s">
        <v>114</v>
      </c>
      <c r="E158" s="141" t="s">
        <v>535</v>
      </c>
    </row>
    <row r="159" spans="1:5" ht="23.25" customHeight="1">
      <c r="A159" s="396"/>
      <c r="B159" s="313" t="s">
        <v>199</v>
      </c>
      <c r="C159" s="314" t="s">
        <v>222</v>
      </c>
      <c r="D159" s="313" t="s">
        <v>59</v>
      </c>
      <c r="E159" s="141" t="s">
        <v>535</v>
      </c>
    </row>
    <row r="160" spans="1:5" ht="23.25" customHeight="1">
      <c r="A160" s="396"/>
      <c r="B160" s="313" t="s">
        <v>213</v>
      </c>
      <c r="C160" s="314" t="s">
        <v>222</v>
      </c>
      <c r="D160" s="313" t="s">
        <v>214</v>
      </c>
      <c r="E160" s="141" t="s">
        <v>535</v>
      </c>
    </row>
    <row r="161" spans="1:5" ht="23.25" customHeight="1">
      <c r="A161" s="396"/>
      <c r="B161" s="313" t="s">
        <v>225</v>
      </c>
      <c r="C161" s="314" t="s">
        <v>222</v>
      </c>
      <c r="D161" s="313" t="s">
        <v>85</v>
      </c>
      <c r="E161" s="141" t="s">
        <v>535</v>
      </c>
    </row>
    <row r="162" spans="1:5" ht="23.25" customHeight="1">
      <c r="A162" s="396"/>
      <c r="B162" s="313" t="s">
        <v>238</v>
      </c>
      <c r="C162" s="314" t="s">
        <v>222</v>
      </c>
      <c r="D162" s="313" t="s">
        <v>59</v>
      </c>
      <c r="E162" s="141" t="s">
        <v>535</v>
      </c>
    </row>
    <row r="163" spans="1:5" ht="23.25" customHeight="1">
      <c r="A163" s="396"/>
      <c r="B163" s="313" t="s">
        <v>240</v>
      </c>
      <c r="C163" s="314" t="s">
        <v>222</v>
      </c>
      <c r="D163" s="313" t="s">
        <v>59</v>
      </c>
      <c r="E163" s="141" t="s">
        <v>535</v>
      </c>
    </row>
    <row r="164" spans="1:5" ht="23.25" customHeight="1">
      <c r="A164" s="396"/>
      <c r="B164" s="313" t="s">
        <v>250</v>
      </c>
      <c r="C164" s="314" t="s">
        <v>222</v>
      </c>
      <c r="D164" s="313" t="s">
        <v>85</v>
      </c>
      <c r="E164" s="141" t="s">
        <v>535</v>
      </c>
    </row>
    <row r="165" spans="1:5" ht="23.25" customHeight="1">
      <c r="A165" s="396"/>
      <c r="B165" s="313" t="s">
        <v>172</v>
      </c>
      <c r="C165" s="314" t="s">
        <v>207</v>
      </c>
      <c r="D165" s="313" t="s">
        <v>59</v>
      </c>
      <c r="E165" s="141" t="s">
        <v>535</v>
      </c>
    </row>
    <row r="166" spans="1:5" ht="23.25" customHeight="1">
      <c r="A166" s="396"/>
      <c r="B166" s="313" t="s">
        <v>181</v>
      </c>
      <c r="C166" s="314" t="s">
        <v>207</v>
      </c>
      <c r="D166" s="313" t="s">
        <v>59</v>
      </c>
      <c r="E166" s="141" t="s">
        <v>535</v>
      </c>
    </row>
    <row r="167" spans="1:5" ht="23.25" customHeight="1">
      <c r="A167" s="396"/>
      <c r="B167" s="313" t="s">
        <v>228</v>
      </c>
      <c r="C167" s="314" t="s">
        <v>207</v>
      </c>
      <c r="D167" s="313" t="s">
        <v>85</v>
      </c>
      <c r="E167" s="141" t="s">
        <v>535</v>
      </c>
    </row>
    <row r="168" spans="1:5" ht="23.25" customHeight="1">
      <c r="A168" s="396"/>
      <c r="B168" s="313" t="s">
        <v>242</v>
      </c>
      <c r="C168" s="314" t="s">
        <v>207</v>
      </c>
      <c r="D168" s="313" t="s">
        <v>59</v>
      </c>
      <c r="E168" s="141" t="s">
        <v>535</v>
      </c>
    </row>
    <row r="169" spans="1:5" ht="23.25" customHeight="1">
      <c r="A169" s="396"/>
      <c r="B169" s="313" t="s">
        <v>246</v>
      </c>
      <c r="C169" s="314" t="s">
        <v>207</v>
      </c>
      <c r="D169" s="313" t="s">
        <v>59</v>
      </c>
      <c r="E169" s="141" t="s">
        <v>535</v>
      </c>
    </row>
    <row r="170" spans="1:5" ht="23.25" customHeight="1">
      <c r="A170" s="396"/>
      <c r="B170" s="313" t="s">
        <v>254</v>
      </c>
      <c r="C170" s="314" t="s">
        <v>207</v>
      </c>
      <c r="D170" s="313" t="s">
        <v>85</v>
      </c>
      <c r="E170" s="141" t="s">
        <v>535</v>
      </c>
    </row>
    <row r="171" spans="1:5" ht="23.25" customHeight="1">
      <c r="A171" s="396"/>
      <c r="B171" s="313" t="s">
        <v>260</v>
      </c>
      <c r="C171" s="314" t="s">
        <v>207</v>
      </c>
      <c r="D171" s="313" t="s">
        <v>59</v>
      </c>
      <c r="E171" s="141" t="s">
        <v>535</v>
      </c>
    </row>
    <row r="172" spans="1:5" ht="23.25" customHeight="1">
      <c r="A172" s="396"/>
      <c r="B172" s="313" t="s">
        <v>266</v>
      </c>
      <c r="C172" s="314" t="s">
        <v>207</v>
      </c>
      <c r="D172" s="313" t="s">
        <v>267</v>
      </c>
      <c r="E172" s="141" t="s">
        <v>535</v>
      </c>
    </row>
    <row r="173" spans="1:5" ht="23.25" customHeight="1">
      <c r="A173" s="396"/>
      <c r="B173" s="313" t="s">
        <v>269</v>
      </c>
      <c r="C173" s="314" t="s">
        <v>207</v>
      </c>
      <c r="D173" s="313" t="s">
        <v>59</v>
      </c>
      <c r="E173" s="141" t="s">
        <v>535</v>
      </c>
    </row>
    <row r="174" spans="1:5" ht="23.25" customHeight="1">
      <c r="A174" s="396"/>
      <c r="B174" s="313" t="s">
        <v>271</v>
      </c>
      <c r="C174" s="314" t="s">
        <v>207</v>
      </c>
      <c r="D174" s="313" t="s">
        <v>59</v>
      </c>
      <c r="E174" s="141" t="s">
        <v>535</v>
      </c>
    </row>
    <row r="175" spans="1:5" ht="23.25" customHeight="1">
      <c r="A175" s="396"/>
      <c r="B175" s="313" t="s">
        <v>201</v>
      </c>
      <c r="C175" s="314" t="s">
        <v>198</v>
      </c>
      <c r="D175" s="313" t="s">
        <v>59</v>
      </c>
      <c r="E175" s="141" t="s">
        <v>535</v>
      </c>
    </row>
    <row r="176" spans="1:5" ht="23.25" customHeight="1">
      <c r="A176" s="396"/>
      <c r="B176" s="313" t="s">
        <v>216</v>
      </c>
      <c r="C176" s="314" t="s">
        <v>198</v>
      </c>
      <c r="D176" s="313" t="s">
        <v>85</v>
      </c>
      <c r="E176" s="141" t="s">
        <v>535</v>
      </c>
    </row>
    <row r="177" spans="1:5" ht="23.25" customHeight="1">
      <c r="A177" s="396"/>
      <c r="B177" s="313" t="s">
        <v>248</v>
      </c>
      <c r="C177" s="314" t="s">
        <v>198</v>
      </c>
      <c r="D177" s="313" t="s">
        <v>59</v>
      </c>
      <c r="E177" s="141" t="s">
        <v>535</v>
      </c>
    </row>
    <row r="178" spans="1:5" ht="23.25" customHeight="1">
      <c r="A178" s="396"/>
      <c r="B178" s="313" t="s">
        <v>176</v>
      </c>
      <c r="C178" s="314" t="s">
        <v>223</v>
      </c>
      <c r="D178" s="313" t="s">
        <v>59</v>
      </c>
      <c r="E178" s="141" t="s">
        <v>535</v>
      </c>
    </row>
    <row r="179" spans="1:5" ht="23.25" customHeight="1">
      <c r="A179" s="396"/>
      <c r="B179" s="313" t="s">
        <v>233</v>
      </c>
      <c r="C179" s="314" t="s">
        <v>223</v>
      </c>
      <c r="D179" s="313" t="s">
        <v>59</v>
      </c>
      <c r="E179" s="141" t="s">
        <v>535</v>
      </c>
    </row>
    <row r="180" spans="1:5" ht="18.75" customHeight="1">
      <c r="A180" s="396"/>
      <c r="B180" s="313" t="s">
        <v>256</v>
      </c>
      <c r="C180" s="314" t="s">
        <v>196</v>
      </c>
      <c r="D180" s="313" t="s">
        <v>59</v>
      </c>
      <c r="E180" s="141" t="s">
        <v>535</v>
      </c>
    </row>
    <row r="181" spans="1:5" ht="27.75" customHeight="1">
      <c r="A181" s="399" t="s">
        <v>293</v>
      </c>
      <c r="B181" s="301" t="s">
        <v>291</v>
      </c>
      <c r="C181" s="301" t="s">
        <v>540</v>
      </c>
      <c r="D181" s="301" t="s">
        <v>541</v>
      </c>
      <c r="E181" s="141" t="s">
        <v>542</v>
      </c>
    </row>
    <row r="182" spans="1:5" ht="30.75" customHeight="1">
      <c r="A182" s="399"/>
      <c r="B182" s="301" t="s">
        <v>295</v>
      </c>
      <c r="C182" s="301" t="s">
        <v>291</v>
      </c>
      <c r="D182" s="301" t="s">
        <v>543</v>
      </c>
      <c r="E182" s="141" t="s">
        <v>542</v>
      </c>
    </row>
    <row r="183" spans="1:5" ht="24.75" customHeight="1">
      <c r="A183" s="399"/>
      <c r="B183" s="301" t="s">
        <v>296</v>
      </c>
      <c r="C183" s="301" t="s">
        <v>291</v>
      </c>
      <c r="D183" s="301" t="s">
        <v>544</v>
      </c>
      <c r="E183" s="141" t="s">
        <v>542</v>
      </c>
    </row>
    <row r="184" spans="1:5" ht="26.25" customHeight="1">
      <c r="A184" s="400" t="s">
        <v>545</v>
      </c>
      <c r="B184" s="315" t="s">
        <v>10</v>
      </c>
      <c r="C184" s="315" t="s">
        <v>9</v>
      </c>
      <c r="D184" s="315" t="s">
        <v>546</v>
      </c>
      <c r="E184" s="141" t="s">
        <v>547</v>
      </c>
    </row>
    <row r="185" spans="1:5" ht="26.25" customHeight="1">
      <c r="A185" s="400"/>
      <c r="B185" s="316" t="s">
        <v>15</v>
      </c>
      <c r="C185" s="315" t="s">
        <v>9</v>
      </c>
      <c r="D185" s="316" t="s">
        <v>548</v>
      </c>
      <c r="E185" s="141" t="s">
        <v>547</v>
      </c>
    </row>
    <row r="186" spans="1:5" ht="26.25" customHeight="1">
      <c r="A186" s="400"/>
      <c r="B186" s="316" t="s">
        <v>17</v>
      </c>
      <c r="C186" s="315" t="s">
        <v>9</v>
      </c>
      <c r="D186" s="316" t="s">
        <v>549</v>
      </c>
      <c r="E186" s="141" t="s">
        <v>550</v>
      </c>
    </row>
    <row r="187" spans="1:5" ht="26.25" customHeight="1">
      <c r="A187" s="400"/>
      <c r="B187" s="316" t="s">
        <v>14</v>
      </c>
      <c r="C187" s="315" t="s">
        <v>9</v>
      </c>
      <c r="D187" s="316" t="s">
        <v>551</v>
      </c>
      <c r="E187" s="141" t="s">
        <v>478</v>
      </c>
    </row>
    <row r="188" spans="1:5" ht="26.25" customHeight="1">
      <c r="A188" s="400"/>
      <c r="B188" s="316" t="s">
        <v>16</v>
      </c>
      <c r="C188" s="315" t="s">
        <v>9</v>
      </c>
      <c r="D188" s="316" t="s">
        <v>551</v>
      </c>
      <c r="E188" s="141" t="s">
        <v>552</v>
      </c>
    </row>
    <row r="189" spans="1:5" ht="26.25" customHeight="1">
      <c r="A189" s="400"/>
      <c r="B189" s="316" t="s">
        <v>553</v>
      </c>
      <c r="C189" s="315" t="s">
        <v>10</v>
      </c>
      <c r="D189" s="316" t="s">
        <v>548</v>
      </c>
      <c r="E189" s="141" t="s">
        <v>547</v>
      </c>
    </row>
    <row r="190" spans="1:5" ht="25.5" customHeight="1">
      <c r="A190" s="396" t="s">
        <v>18</v>
      </c>
      <c r="B190" s="316" t="s">
        <v>25</v>
      </c>
      <c r="C190" s="316" t="s">
        <v>17</v>
      </c>
      <c r="D190" s="316" t="s">
        <v>554</v>
      </c>
      <c r="E190" s="141" t="s">
        <v>555</v>
      </c>
    </row>
    <row r="191" spans="1:5" ht="25.5" customHeight="1">
      <c r="A191" s="396"/>
      <c r="B191" s="316" t="s">
        <v>21</v>
      </c>
      <c r="C191" s="316" t="s">
        <v>17</v>
      </c>
      <c r="D191" s="316" t="s">
        <v>556</v>
      </c>
      <c r="E191" s="141" t="s">
        <v>557</v>
      </c>
    </row>
    <row r="192" spans="1:5" ht="25.5" customHeight="1">
      <c r="A192" s="396"/>
      <c r="B192" s="316" t="s">
        <v>24</v>
      </c>
      <c r="C192" s="316" t="s">
        <v>17</v>
      </c>
      <c r="D192" s="316" t="s">
        <v>558</v>
      </c>
      <c r="E192" s="143" t="s">
        <v>550</v>
      </c>
    </row>
    <row r="193" spans="1:5" ht="26.25" customHeight="1">
      <c r="A193" s="395" t="s">
        <v>559</v>
      </c>
      <c r="B193" s="317" t="s">
        <v>279</v>
      </c>
      <c r="C193" s="317" t="s">
        <v>479</v>
      </c>
      <c r="D193" s="317" t="s">
        <v>560</v>
      </c>
      <c r="E193" s="141" t="s">
        <v>481</v>
      </c>
    </row>
    <row r="194" spans="1:5" ht="26.25" customHeight="1">
      <c r="A194" s="395"/>
      <c r="B194" s="317" t="s">
        <v>561</v>
      </c>
      <c r="C194" s="317" t="s">
        <v>479</v>
      </c>
      <c r="D194" s="317" t="s">
        <v>560</v>
      </c>
      <c r="E194" s="141" t="s">
        <v>481</v>
      </c>
    </row>
    <row r="195" spans="1:5" ht="26.25" customHeight="1">
      <c r="A195" s="395"/>
      <c r="B195" s="317" t="s">
        <v>562</v>
      </c>
      <c r="C195" s="317" t="s">
        <v>479</v>
      </c>
      <c r="D195" s="317" t="s">
        <v>563</v>
      </c>
      <c r="E195" s="141" t="s">
        <v>481</v>
      </c>
    </row>
    <row r="196" spans="1:5" ht="15"/>
    <row r="197" spans="1:5" ht="15"/>
    <row r="198" spans="1:5" ht="15"/>
    <row r="199" spans="1:5" ht="15"/>
    <row r="200" spans="1:5" ht="15"/>
    <row r="201" spans="1:5" ht="15"/>
    <row r="202" spans="1:5" ht="15"/>
    <row r="203" spans="1:5" ht="15"/>
    <row r="204" spans="1:5" ht="15"/>
    <row r="205" spans="1:5" ht="15"/>
    <row r="206" spans="1:5" ht="15"/>
    <row r="207" spans="1:5" ht="15"/>
    <row r="208" spans="1:5" ht="15"/>
    <row r="209" ht="15"/>
    <row r="210" ht="15"/>
    <row r="211" ht="15"/>
    <row r="212" ht="15"/>
    <row r="213" ht="15"/>
    <row r="214" ht="15"/>
    <row r="215" ht="15"/>
    <row r="216" ht="15"/>
    <row r="217" ht="15"/>
    <row r="218" ht="15"/>
    <row r="219" ht="15"/>
    <row r="220" ht="15"/>
    <row r="221" ht="15"/>
    <row r="222" ht="15"/>
    <row r="223" ht="15"/>
    <row r="224" ht="15"/>
    <row r="225" spans="2:4" ht="15"/>
    <row r="226" spans="2:4" ht="15"/>
    <row r="227" spans="2:4" ht="15"/>
    <row r="228" spans="2:4" ht="15"/>
    <row r="229" spans="2:4" ht="15"/>
    <row r="230" spans="2:4" ht="15"/>
    <row r="231" spans="2:4" ht="15"/>
    <row r="232" spans="2:4" ht="15"/>
    <row r="233" spans="2:4" ht="15">
      <c r="B233" s="166"/>
      <c r="C233" s="173"/>
      <c r="D233" s="167"/>
    </row>
    <row r="234" spans="2:4" ht="15">
      <c r="B234" s="166"/>
      <c r="C234" s="173"/>
      <c r="D234" s="167"/>
    </row>
    <row r="235" spans="2:4" ht="15">
      <c r="B235" s="166"/>
      <c r="C235" s="173"/>
      <c r="D235" s="167"/>
    </row>
    <row r="236" spans="2:4" ht="15">
      <c r="B236" s="166"/>
      <c r="C236" s="173"/>
      <c r="D236" s="167"/>
    </row>
    <row r="237" spans="2:4" ht="15">
      <c r="B237" s="166"/>
      <c r="C237" s="173"/>
      <c r="D237" s="167"/>
    </row>
    <row r="238" spans="2:4" ht="15">
      <c r="B238" s="166"/>
      <c r="C238" s="173"/>
      <c r="D238" s="167"/>
    </row>
    <row r="239" spans="2:4" ht="15">
      <c r="B239" s="166"/>
      <c r="C239" s="173"/>
      <c r="D239" s="167"/>
    </row>
    <row r="240" spans="2:4" ht="15">
      <c r="B240" s="166"/>
      <c r="C240" s="173"/>
      <c r="D240" s="167"/>
    </row>
    <row r="241" spans="2:4" ht="15">
      <c r="B241" s="166"/>
      <c r="C241" s="173"/>
      <c r="D241" s="167"/>
    </row>
    <row r="242" spans="2:4" ht="15">
      <c r="B242" s="166"/>
      <c r="C242" s="173"/>
      <c r="D242" s="167"/>
    </row>
    <row r="243" spans="2:4" ht="15">
      <c r="B243" s="166"/>
      <c r="C243" s="173"/>
      <c r="D243" s="167"/>
    </row>
    <row r="244" spans="2:4" ht="15">
      <c r="B244" s="166"/>
      <c r="C244" s="173"/>
      <c r="D244" s="167"/>
    </row>
    <row r="245" spans="2:4" ht="15">
      <c r="B245" s="166"/>
      <c r="C245" s="173"/>
      <c r="D245" s="167"/>
    </row>
    <row r="246" spans="2:4" ht="15">
      <c r="B246" s="166"/>
      <c r="C246" s="173"/>
      <c r="D246" s="167"/>
    </row>
    <row r="247" spans="2:4" ht="15">
      <c r="B247" s="166"/>
      <c r="C247" s="173"/>
      <c r="D247" s="167"/>
    </row>
    <row r="248" spans="2:4" ht="15">
      <c r="B248" s="166"/>
      <c r="C248" s="173"/>
      <c r="D248" s="167"/>
    </row>
    <row r="249" spans="2:4" ht="15">
      <c r="B249" s="166"/>
      <c r="C249" s="173"/>
      <c r="D249" s="167"/>
    </row>
    <row r="250" spans="2:4" ht="15">
      <c r="B250" s="166"/>
      <c r="C250" s="173"/>
      <c r="D250" s="167"/>
    </row>
    <row r="251" spans="2:4" ht="15">
      <c r="B251" s="166"/>
      <c r="C251" s="173"/>
      <c r="D251" s="167"/>
    </row>
    <row r="252" spans="2:4" ht="15">
      <c r="B252" s="166"/>
      <c r="C252" s="173"/>
      <c r="D252" s="167"/>
    </row>
    <row r="253" spans="2:4" ht="15">
      <c r="B253" s="166"/>
      <c r="C253" s="173"/>
      <c r="D253" s="167"/>
    </row>
    <row r="254" spans="2:4" ht="15">
      <c r="B254" s="166"/>
      <c r="C254" s="173"/>
      <c r="D254" s="167"/>
    </row>
    <row r="255" spans="2:4" ht="15">
      <c r="B255" s="166"/>
      <c r="C255" s="173"/>
      <c r="D255" s="167"/>
    </row>
    <row r="256" spans="2:4" ht="15">
      <c r="B256" s="166"/>
      <c r="C256" s="173"/>
      <c r="D256" s="167"/>
    </row>
    <row r="257" spans="2:4" ht="15">
      <c r="B257" s="166"/>
      <c r="C257" s="173"/>
      <c r="D257" s="167"/>
    </row>
    <row r="258" spans="2:4" ht="15">
      <c r="B258" s="166"/>
      <c r="C258" s="173"/>
      <c r="D258" s="167"/>
    </row>
    <row r="259" spans="2:4" ht="15">
      <c r="B259" s="166"/>
      <c r="C259" s="173"/>
      <c r="D259" s="167"/>
    </row>
    <row r="260" spans="2:4" ht="15">
      <c r="B260" s="166"/>
      <c r="C260" s="173"/>
      <c r="D260" s="167"/>
    </row>
    <row r="261" spans="2:4" ht="15">
      <c r="B261" s="166"/>
      <c r="C261" s="173"/>
      <c r="D261" s="167"/>
    </row>
    <row r="262" spans="2:4" ht="15">
      <c r="B262" s="166"/>
      <c r="C262" s="173"/>
      <c r="D262" s="167"/>
    </row>
    <row r="263" spans="2:4" ht="15">
      <c r="B263" s="166"/>
      <c r="C263" s="173"/>
      <c r="D263" s="167"/>
    </row>
    <row r="264" spans="2:4" ht="15">
      <c r="B264" s="166"/>
      <c r="C264" s="173"/>
      <c r="D264" s="167"/>
    </row>
    <row r="265" spans="2:4" ht="15">
      <c r="B265" s="166"/>
      <c r="C265" s="173"/>
      <c r="D265" s="167"/>
    </row>
    <row r="266" spans="2:4" ht="15">
      <c r="B266" s="166"/>
      <c r="C266" s="173"/>
      <c r="D266" s="167"/>
    </row>
    <row r="267" spans="2:4" ht="15">
      <c r="B267" s="166"/>
      <c r="C267" s="173"/>
      <c r="D267" s="167"/>
    </row>
    <row r="268" spans="2:4" ht="15">
      <c r="B268" s="166"/>
      <c r="C268" s="173"/>
      <c r="D268" s="167"/>
    </row>
    <row r="269" spans="2:4" ht="15">
      <c r="B269" s="166"/>
      <c r="C269" s="173"/>
      <c r="D269" s="167"/>
    </row>
    <row r="270" spans="2:4" ht="15">
      <c r="B270" s="166"/>
      <c r="C270" s="173"/>
      <c r="D270" s="167"/>
    </row>
    <row r="271" spans="2:4" ht="15">
      <c r="B271" s="166"/>
      <c r="C271" s="173"/>
      <c r="D271" s="167"/>
    </row>
    <row r="272" spans="2:4" ht="15">
      <c r="B272" s="166"/>
      <c r="C272" s="173"/>
      <c r="D272" s="167"/>
    </row>
    <row r="273" spans="2:4" ht="15">
      <c r="B273" s="166"/>
      <c r="C273" s="173"/>
      <c r="D273" s="167"/>
    </row>
    <row r="274" spans="2:4" ht="15">
      <c r="B274" s="166"/>
      <c r="C274" s="173"/>
      <c r="D274" s="167"/>
    </row>
    <row r="275" spans="2:4" ht="15">
      <c r="B275" s="166"/>
      <c r="C275" s="173"/>
      <c r="D275" s="167"/>
    </row>
    <row r="276" spans="2:4" ht="15">
      <c r="B276" s="166"/>
      <c r="C276" s="173"/>
      <c r="D276" s="167"/>
    </row>
    <row r="277" spans="2:4" ht="15">
      <c r="B277" s="166"/>
      <c r="C277" s="173"/>
      <c r="D277" s="167"/>
    </row>
    <row r="278" spans="2:4" ht="15"/>
    <row r="279" spans="2:4" ht="15"/>
    <row r="280" spans="2:4" ht="15"/>
    <row r="281" spans="2:4" ht="15"/>
    <row r="282" spans="2:4" ht="15"/>
    <row r="283" spans="2:4" ht="15"/>
    <row r="284" spans="2:4" ht="15"/>
    <row r="285" spans="2:4" ht="15"/>
    <row r="286" spans="2:4" ht="15"/>
    <row r="287" spans="2:4" ht="15"/>
    <row r="288" spans="2:4" ht="15"/>
    <row r="289" ht="15"/>
    <row r="290" ht="15"/>
    <row r="291" ht="15"/>
    <row r="292" ht="15"/>
    <row r="293" ht="15"/>
    <row r="294" ht="15"/>
    <row r="295" ht="15"/>
    <row r="296" ht="15"/>
    <row r="297" ht="15"/>
    <row r="298" ht="15"/>
    <row r="299" ht="15"/>
    <row r="300" ht="15"/>
    <row r="301" ht="15"/>
    <row r="302" ht="15"/>
    <row r="303" ht="15"/>
    <row r="304" ht="15"/>
    <row r="305" spans="2:4" ht="15"/>
    <row r="306" spans="2:4" ht="15"/>
    <row r="307" spans="2:4" ht="15"/>
    <row r="308" spans="2:4" ht="15">
      <c r="B308" s="166"/>
      <c r="C308" s="173"/>
      <c r="D308" s="167"/>
    </row>
    <row r="309" spans="2:4" ht="15">
      <c r="B309" s="166"/>
      <c r="C309" s="173"/>
      <c r="D309" s="167"/>
    </row>
    <row r="310" spans="2:4" ht="15">
      <c r="B310" s="166"/>
      <c r="C310" s="173"/>
      <c r="D310" s="167"/>
    </row>
    <row r="311" spans="2:4" ht="15">
      <c r="B311" s="166"/>
      <c r="C311" s="173"/>
      <c r="D311" s="167"/>
    </row>
    <row r="312" spans="2:4" ht="15">
      <c r="B312" s="166"/>
      <c r="C312" s="173"/>
      <c r="D312" s="167"/>
    </row>
    <row r="313" spans="2:4" ht="15">
      <c r="B313" s="166"/>
      <c r="C313" s="173"/>
      <c r="D313" s="167"/>
    </row>
    <row r="314" spans="2:4" ht="15">
      <c r="B314" s="166"/>
      <c r="C314" s="173"/>
      <c r="D314" s="167"/>
    </row>
    <row r="315" spans="2:4" ht="15">
      <c r="B315" s="166"/>
      <c r="C315" s="173"/>
      <c r="D315" s="167"/>
    </row>
    <row r="316" spans="2:4" ht="15">
      <c r="B316" s="166"/>
      <c r="C316" s="173"/>
      <c r="D316" s="167"/>
    </row>
    <row r="317" spans="2:4" ht="15">
      <c r="B317" s="166"/>
      <c r="C317" s="173"/>
      <c r="D317" s="167"/>
    </row>
    <row r="318" spans="2:4" ht="15">
      <c r="B318" s="166"/>
      <c r="C318" s="173"/>
      <c r="D318" s="167"/>
    </row>
    <row r="319" spans="2:4" ht="15">
      <c r="B319" s="166"/>
      <c r="C319" s="173"/>
      <c r="D319" s="167"/>
    </row>
    <row r="320" spans="2:4" ht="15">
      <c r="B320" s="166"/>
      <c r="C320" s="173"/>
      <c r="D320" s="167"/>
    </row>
    <row r="321" spans="2:4" ht="15">
      <c r="B321" s="166"/>
      <c r="C321" s="173"/>
      <c r="D321" s="167"/>
    </row>
    <row r="322" spans="2:4" ht="15">
      <c r="B322" s="166"/>
      <c r="C322" s="173"/>
      <c r="D322" s="167"/>
    </row>
    <row r="323" spans="2:4" ht="15">
      <c r="B323" s="166"/>
      <c r="C323" s="173"/>
      <c r="D323" s="167"/>
    </row>
    <row r="324" spans="2:4" ht="15">
      <c r="B324" s="166"/>
      <c r="C324" s="173"/>
      <c r="D324" s="167"/>
    </row>
    <row r="325" spans="2:4" ht="15">
      <c r="B325" s="166"/>
      <c r="C325" s="173"/>
      <c r="D325" s="167"/>
    </row>
    <row r="326" spans="2:4" ht="15">
      <c r="B326" s="166"/>
      <c r="C326" s="173"/>
      <c r="D326" s="167"/>
    </row>
    <row r="327" spans="2:4" ht="15">
      <c r="B327" s="166"/>
      <c r="C327" s="173"/>
      <c r="D327" s="167"/>
    </row>
    <row r="328" spans="2:4" ht="15">
      <c r="B328" s="166"/>
      <c r="C328" s="173"/>
      <c r="D328" s="167"/>
    </row>
    <row r="329" spans="2:4" ht="15">
      <c r="B329" s="166"/>
      <c r="C329" s="173"/>
      <c r="D329" s="167"/>
    </row>
    <row r="330" spans="2:4" ht="15">
      <c r="B330" s="166"/>
      <c r="C330" s="173"/>
      <c r="D330" s="167"/>
    </row>
    <row r="331" spans="2:4" ht="15">
      <c r="B331" s="166"/>
      <c r="C331" s="173"/>
      <c r="D331" s="167"/>
    </row>
    <row r="332" spans="2:4" ht="15">
      <c r="B332" s="166"/>
      <c r="C332" s="173"/>
      <c r="D332" s="167"/>
    </row>
    <row r="333" spans="2:4" ht="15">
      <c r="B333" s="166"/>
      <c r="C333" s="173"/>
      <c r="D333" s="167"/>
    </row>
    <row r="334" spans="2:4" ht="15">
      <c r="B334" s="166"/>
      <c r="C334" s="173"/>
      <c r="D334" s="167"/>
    </row>
    <row r="335" spans="2:4" ht="15">
      <c r="B335" s="166"/>
      <c r="C335" s="173"/>
      <c r="D335" s="167"/>
    </row>
    <row r="336" spans="2:4" ht="15">
      <c r="B336" s="166"/>
      <c r="C336" s="173"/>
      <c r="D336" s="167"/>
    </row>
    <row r="337" spans="2:4" ht="15">
      <c r="B337" s="166"/>
      <c r="C337" s="173"/>
      <c r="D337" s="167"/>
    </row>
    <row r="338" spans="2:4" ht="15">
      <c r="B338" s="166"/>
      <c r="C338" s="173"/>
      <c r="D338" s="167"/>
    </row>
    <row r="339" spans="2:4" ht="15">
      <c r="B339" s="166"/>
      <c r="C339" s="173"/>
      <c r="D339" s="167"/>
    </row>
    <row r="340" spans="2:4" ht="15">
      <c r="B340" s="166"/>
      <c r="C340" s="173"/>
      <c r="D340" s="167"/>
    </row>
    <row r="341" spans="2:4" ht="15">
      <c r="B341" s="166"/>
      <c r="C341" s="173"/>
      <c r="D341" s="167"/>
    </row>
    <row r="342" spans="2:4" ht="15">
      <c r="B342" s="166"/>
      <c r="C342" s="173"/>
      <c r="D342" s="167"/>
    </row>
    <row r="343" spans="2:4" ht="15">
      <c r="B343" s="166"/>
      <c r="C343" s="173"/>
      <c r="D343" s="167"/>
    </row>
    <row r="344" spans="2:4" ht="15">
      <c r="B344" s="166"/>
      <c r="C344" s="173"/>
      <c r="D344" s="167"/>
    </row>
    <row r="345" spans="2:4" ht="15">
      <c r="B345" s="166"/>
      <c r="C345" s="173"/>
      <c r="D345" s="167"/>
    </row>
    <row r="346" spans="2:4" ht="15">
      <c r="B346" s="166"/>
      <c r="C346" s="173"/>
      <c r="D346" s="167"/>
    </row>
    <row r="347" spans="2:4" ht="15">
      <c r="B347" s="166"/>
      <c r="C347" s="173"/>
      <c r="D347" s="167"/>
    </row>
    <row r="348" spans="2:4" ht="15">
      <c r="B348" s="166"/>
      <c r="C348" s="173"/>
      <c r="D348" s="167"/>
    </row>
    <row r="349" spans="2:4" ht="15">
      <c r="B349" s="166"/>
      <c r="C349" s="173"/>
      <c r="D349" s="167"/>
    </row>
    <row r="350" spans="2:4" ht="15">
      <c r="B350" s="166"/>
      <c r="C350" s="173"/>
      <c r="D350" s="167"/>
    </row>
    <row r="351" spans="2:4" ht="15">
      <c r="B351" s="166"/>
      <c r="C351" s="173"/>
      <c r="D351" s="167"/>
    </row>
    <row r="352" spans="2:4" ht="15">
      <c r="B352" s="166"/>
      <c r="C352" s="173"/>
      <c r="D352" s="167"/>
    </row>
    <row r="353" spans="2:4" ht="15">
      <c r="B353" s="166"/>
      <c r="C353" s="173"/>
      <c r="D353" s="167"/>
    </row>
    <row r="354" spans="2:4" ht="15">
      <c r="B354" s="166"/>
      <c r="C354" s="173"/>
      <c r="D354" s="167"/>
    </row>
    <row r="355" spans="2:4" ht="15">
      <c r="B355" s="166"/>
      <c r="C355" s="173"/>
      <c r="D355" s="167"/>
    </row>
    <row r="356" spans="2:4" ht="15">
      <c r="B356" s="166"/>
      <c r="C356" s="173"/>
      <c r="D356" s="167"/>
    </row>
    <row r="357" spans="2:4" ht="15">
      <c r="B357" s="166"/>
      <c r="C357" s="173"/>
      <c r="D357" s="167"/>
    </row>
    <row r="358" spans="2:4" ht="15">
      <c r="B358" s="166"/>
      <c r="C358" s="173"/>
      <c r="D358" s="167"/>
    </row>
    <row r="359" spans="2:4" ht="15">
      <c r="B359" s="166"/>
      <c r="C359" s="173"/>
      <c r="D359" s="167"/>
    </row>
    <row r="360" spans="2:4" ht="15">
      <c r="B360" s="166"/>
      <c r="C360" s="173"/>
      <c r="D360" s="167"/>
    </row>
    <row r="361" spans="2:4" ht="15">
      <c r="B361" s="166"/>
      <c r="C361" s="173"/>
      <c r="D361" s="167"/>
    </row>
    <row r="362" spans="2:4" ht="15">
      <c r="B362" s="166"/>
      <c r="C362" s="173"/>
      <c r="D362" s="167"/>
    </row>
    <row r="363" spans="2:4" ht="15">
      <c r="B363" s="166"/>
      <c r="C363" s="173"/>
      <c r="D363" s="167"/>
    </row>
    <row r="364" spans="2:4" ht="15">
      <c r="B364" s="166"/>
      <c r="C364" s="173"/>
      <c r="D364" s="167"/>
    </row>
    <row r="365" spans="2:4" ht="15">
      <c r="B365" s="166"/>
      <c r="C365" s="173"/>
      <c r="D365" s="167"/>
    </row>
    <row r="366" spans="2:4" ht="15">
      <c r="B366" s="166"/>
      <c r="C366" s="173"/>
      <c r="D366" s="167"/>
    </row>
    <row r="367" spans="2:4" ht="15">
      <c r="B367" s="166"/>
      <c r="C367" s="173"/>
      <c r="D367" s="167"/>
    </row>
    <row r="368" spans="2:4" ht="15">
      <c r="B368" s="166"/>
      <c r="C368" s="173"/>
      <c r="D368" s="167"/>
    </row>
    <row r="369" spans="2:4" ht="15">
      <c r="B369" s="166"/>
      <c r="C369" s="173"/>
      <c r="D369" s="167"/>
    </row>
    <row r="370" spans="2:4" ht="15">
      <c r="B370" s="166"/>
      <c r="C370" s="173"/>
      <c r="D370" s="167"/>
    </row>
    <row r="371" spans="2:4" ht="15">
      <c r="B371" s="166"/>
      <c r="C371" s="173"/>
      <c r="D371" s="167"/>
    </row>
    <row r="372" spans="2:4" ht="15">
      <c r="B372" s="166"/>
      <c r="C372" s="173"/>
      <c r="D372" s="167"/>
    </row>
    <row r="373" spans="2:4" ht="15">
      <c r="B373" s="166"/>
      <c r="C373" s="173"/>
      <c r="D373" s="167"/>
    </row>
    <row r="374" spans="2:4" ht="15">
      <c r="B374" s="166"/>
      <c r="C374" s="173"/>
      <c r="D374" s="167"/>
    </row>
    <row r="375" spans="2:4" ht="15">
      <c r="B375" s="166"/>
      <c r="C375" s="173"/>
      <c r="D375" s="167"/>
    </row>
    <row r="376" spans="2:4" ht="15">
      <c r="B376" s="166"/>
      <c r="C376" s="173"/>
      <c r="D376" s="167"/>
    </row>
    <row r="377" spans="2:4" ht="15">
      <c r="B377" s="166"/>
      <c r="C377" s="173"/>
      <c r="D377" s="167"/>
    </row>
    <row r="378" spans="2:4" ht="15">
      <c r="B378" s="166"/>
      <c r="C378" s="173"/>
      <c r="D378" s="167"/>
    </row>
    <row r="379" spans="2:4" ht="15">
      <c r="B379" s="166"/>
      <c r="C379" s="173"/>
      <c r="D379" s="167"/>
    </row>
    <row r="380" spans="2:4" ht="15">
      <c r="B380" s="166"/>
      <c r="C380" s="173"/>
      <c r="D380" s="167"/>
    </row>
    <row r="381" spans="2:4" ht="15">
      <c r="B381" s="166"/>
      <c r="C381" s="173"/>
      <c r="D381" s="167"/>
    </row>
    <row r="382" spans="2:4" ht="15">
      <c r="B382" s="166"/>
      <c r="C382" s="173"/>
      <c r="D382" s="167"/>
    </row>
    <row r="383" spans="2:4" ht="15">
      <c r="B383" s="166"/>
      <c r="C383" s="173"/>
      <c r="D383" s="167"/>
    </row>
    <row r="384" spans="2:4" ht="15">
      <c r="B384" s="166"/>
      <c r="C384" s="173"/>
      <c r="D384" s="167"/>
    </row>
    <row r="385" spans="2:4" ht="15">
      <c r="B385" s="166"/>
      <c r="C385" s="173"/>
      <c r="D385" s="167"/>
    </row>
    <row r="386" spans="2:4" ht="15">
      <c r="B386" s="166"/>
      <c r="C386" s="173"/>
      <c r="D386" s="167"/>
    </row>
    <row r="387" spans="2:4" ht="15">
      <c r="B387" s="166"/>
      <c r="C387" s="173"/>
      <c r="D387" s="167"/>
    </row>
    <row r="388" spans="2:4" ht="15">
      <c r="B388" s="166"/>
      <c r="C388" s="173"/>
      <c r="D388" s="167"/>
    </row>
    <row r="389" spans="2:4" ht="15">
      <c r="B389" s="166"/>
      <c r="C389" s="173"/>
      <c r="D389" s="167"/>
    </row>
    <row r="390" spans="2:4" ht="15">
      <c r="B390" s="166"/>
      <c r="C390" s="173"/>
      <c r="D390" s="167"/>
    </row>
    <row r="391" spans="2:4" ht="15">
      <c r="B391" s="166"/>
      <c r="C391" s="173"/>
      <c r="D391" s="167"/>
    </row>
    <row r="392" spans="2:4" ht="15">
      <c r="B392" s="166"/>
      <c r="C392" s="173"/>
      <c r="D392" s="167"/>
    </row>
    <row r="393" spans="2:4" ht="15">
      <c r="B393" s="166"/>
      <c r="C393" s="173"/>
      <c r="D393" s="167"/>
    </row>
    <row r="394" spans="2:4" ht="15">
      <c r="B394" s="166"/>
      <c r="C394" s="173"/>
      <c r="D394" s="167"/>
    </row>
    <row r="395" spans="2:4" ht="15">
      <c r="B395" s="166"/>
      <c r="C395" s="173"/>
      <c r="D395" s="167"/>
    </row>
    <row r="396" spans="2:4" ht="15">
      <c r="B396" s="166"/>
      <c r="C396" s="173"/>
      <c r="D396" s="167"/>
    </row>
    <row r="397" spans="2:4" ht="15">
      <c r="B397" s="166"/>
      <c r="C397" s="173"/>
      <c r="D397" s="167"/>
    </row>
    <row r="398" spans="2:4" ht="15">
      <c r="B398" s="166"/>
      <c r="C398" s="173"/>
      <c r="D398" s="167"/>
    </row>
    <row r="399" spans="2:4" ht="15">
      <c r="B399" s="166"/>
      <c r="C399" s="173"/>
      <c r="D399" s="167"/>
    </row>
    <row r="400" spans="2:4" ht="15">
      <c r="B400" s="166"/>
      <c r="C400" s="173"/>
      <c r="D400" s="167"/>
    </row>
    <row r="401" spans="2:4" ht="15">
      <c r="B401" s="166"/>
      <c r="C401" s="173"/>
      <c r="D401" s="167"/>
    </row>
    <row r="402" spans="2:4" ht="15">
      <c r="B402" s="166"/>
      <c r="C402" s="173"/>
      <c r="D402" s="167"/>
    </row>
    <row r="403" spans="2:4" ht="15">
      <c r="B403" s="166"/>
      <c r="C403" s="173"/>
      <c r="D403" s="167"/>
    </row>
    <row r="404" spans="2:4" ht="15">
      <c r="B404" s="166"/>
      <c r="C404" s="173"/>
      <c r="D404" s="167"/>
    </row>
    <row r="405" spans="2:4" ht="15">
      <c r="B405" s="166"/>
      <c r="C405" s="173"/>
      <c r="D405" s="167"/>
    </row>
    <row r="406" spans="2:4" ht="15">
      <c r="B406" s="166"/>
      <c r="C406" s="173"/>
      <c r="D406" s="167"/>
    </row>
    <row r="407" spans="2:4" ht="15">
      <c r="B407" s="166"/>
      <c r="C407" s="173"/>
      <c r="D407" s="167"/>
    </row>
    <row r="408" spans="2:4" ht="15">
      <c r="B408" s="166"/>
      <c r="C408" s="173"/>
      <c r="D408" s="167"/>
    </row>
    <row r="409" spans="2:4" ht="15">
      <c r="B409" s="166"/>
      <c r="C409" s="173"/>
      <c r="D409" s="167"/>
    </row>
    <row r="410" spans="2:4" ht="15">
      <c r="B410" s="166"/>
      <c r="C410" s="173"/>
      <c r="D410" s="167"/>
    </row>
    <row r="411" spans="2:4" ht="15">
      <c r="B411" s="166"/>
      <c r="C411" s="173"/>
      <c r="D411" s="167"/>
    </row>
    <row r="412" spans="2:4" ht="15">
      <c r="B412" s="166"/>
      <c r="C412" s="173"/>
      <c r="D412" s="167"/>
    </row>
    <row r="413" spans="2:4" ht="15">
      <c r="B413" s="166"/>
      <c r="C413" s="173"/>
      <c r="D413" s="167"/>
    </row>
    <row r="414" spans="2:4" ht="15">
      <c r="B414" s="166"/>
      <c r="C414" s="173"/>
      <c r="D414" s="167"/>
    </row>
    <row r="415" spans="2:4" ht="15">
      <c r="B415" s="166"/>
      <c r="C415" s="173"/>
      <c r="D415" s="167"/>
    </row>
    <row r="416" spans="2:4" ht="15">
      <c r="B416" s="166"/>
      <c r="C416" s="173"/>
      <c r="D416" s="167"/>
    </row>
    <row r="417" spans="2:4" ht="15">
      <c r="B417" s="166"/>
      <c r="C417" s="173"/>
      <c r="D417" s="167"/>
    </row>
    <row r="418" spans="2:4" ht="15">
      <c r="B418" s="166"/>
      <c r="C418" s="173"/>
      <c r="D418" s="167"/>
    </row>
    <row r="419" spans="2:4" ht="15">
      <c r="B419" s="166"/>
      <c r="C419" s="173"/>
      <c r="D419" s="167"/>
    </row>
    <row r="420" spans="2:4" ht="15">
      <c r="B420" s="166"/>
      <c r="C420" s="173"/>
      <c r="D420" s="167"/>
    </row>
    <row r="421" spans="2:4" ht="15">
      <c r="B421" s="166"/>
      <c r="C421" s="173"/>
      <c r="D421" s="167"/>
    </row>
    <row r="422" spans="2:4" ht="15">
      <c r="B422" s="166"/>
      <c r="C422" s="173"/>
      <c r="D422" s="167"/>
    </row>
    <row r="423" spans="2:4" ht="15">
      <c r="B423" s="166"/>
      <c r="C423" s="173"/>
      <c r="D423" s="167"/>
    </row>
    <row r="424" spans="2:4" ht="15">
      <c r="B424" s="166"/>
      <c r="C424" s="173"/>
      <c r="D424" s="167"/>
    </row>
    <row r="425" spans="2:4" ht="15">
      <c r="B425" s="166"/>
      <c r="C425" s="173"/>
      <c r="D425" s="167"/>
    </row>
    <row r="426" spans="2:4" ht="15">
      <c r="B426" s="166"/>
      <c r="C426" s="173"/>
      <c r="D426" s="167"/>
    </row>
    <row r="427" spans="2:4" ht="15">
      <c r="B427" s="166"/>
      <c r="C427" s="173"/>
      <c r="D427" s="167"/>
    </row>
    <row r="428" spans="2:4" ht="15">
      <c r="B428" s="166"/>
      <c r="C428" s="173"/>
      <c r="D428" s="167"/>
    </row>
    <row r="429" spans="2:4" ht="15">
      <c r="B429" s="166"/>
      <c r="C429" s="173"/>
      <c r="D429" s="167"/>
    </row>
    <row r="430" spans="2:4" ht="15">
      <c r="B430" s="166"/>
      <c r="C430" s="173"/>
      <c r="D430" s="167"/>
    </row>
    <row r="431" spans="2:4" ht="15">
      <c r="B431" s="166"/>
      <c r="C431" s="173"/>
      <c r="D431" s="167"/>
    </row>
    <row r="432" spans="2:4" ht="15">
      <c r="B432" s="166"/>
      <c r="C432" s="173"/>
      <c r="D432" s="167"/>
    </row>
    <row r="433" spans="2:4" ht="15">
      <c r="B433" s="166"/>
      <c r="C433" s="173"/>
      <c r="D433" s="167"/>
    </row>
    <row r="434" spans="2:4" ht="15">
      <c r="B434" s="166"/>
      <c r="C434" s="173"/>
      <c r="D434" s="167"/>
    </row>
    <row r="435" spans="2:4" ht="15">
      <c r="B435" s="166"/>
      <c r="C435" s="173"/>
      <c r="D435" s="167"/>
    </row>
    <row r="436" spans="2:4" ht="15">
      <c r="B436" s="166"/>
      <c r="C436" s="173"/>
      <c r="D436" s="167"/>
    </row>
    <row r="437" spans="2:4" ht="15">
      <c r="B437" s="166"/>
      <c r="C437" s="173"/>
      <c r="D437" s="167"/>
    </row>
    <row r="438" spans="2:4" ht="15">
      <c r="B438" s="166"/>
      <c r="C438" s="173"/>
      <c r="D438" s="167"/>
    </row>
    <row r="439" spans="2:4" ht="15">
      <c r="B439" s="166"/>
      <c r="C439" s="173"/>
      <c r="D439" s="167"/>
    </row>
    <row r="440" spans="2:4" ht="15">
      <c r="B440" s="166"/>
      <c r="C440" s="173"/>
      <c r="D440" s="167"/>
    </row>
    <row r="441" spans="2:4" ht="15">
      <c r="B441" s="166"/>
      <c r="C441" s="173"/>
      <c r="D441" s="167"/>
    </row>
    <row r="442" spans="2:4" ht="15">
      <c r="B442" s="166"/>
      <c r="C442" s="173"/>
      <c r="D442" s="167"/>
    </row>
    <row r="443" spans="2:4" ht="15">
      <c r="B443" s="166"/>
      <c r="C443" s="173"/>
      <c r="D443" s="167"/>
    </row>
    <row r="444" spans="2:4" ht="15">
      <c r="B444" s="166"/>
      <c r="C444" s="173"/>
      <c r="D444" s="167"/>
    </row>
    <row r="445" spans="2:4" ht="15">
      <c r="B445" s="166"/>
      <c r="C445" s="173"/>
      <c r="D445" s="167"/>
    </row>
    <row r="446" spans="2:4" ht="15">
      <c r="B446" s="166"/>
      <c r="C446" s="173"/>
      <c r="D446" s="167"/>
    </row>
    <row r="447" spans="2:4" ht="15">
      <c r="B447" s="166"/>
      <c r="C447" s="173"/>
      <c r="D447" s="167"/>
    </row>
    <row r="448" spans="2:4" ht="15">
      <c r="B448" s="166"/>
      <c r="C448" s="173"/>
      <c r="D448" s="167"/>
    </row>
    <row r="449" spans="2:4" ht="15">
      <c r="B449" s="166"/>
      <c r="C449" s="173"/>
      <c r="D449" s="167"/>
    </row>
    <row r="450" spans="2:4" ht="15">
      <c r="B450" s="166"/>
      <c r="C450" s="173"/>
      <c r="D450" s="167"/>
    </row>
    <row r="451" spans="2:4" ht="15">
      <c r="B451" s="166"/>
      <c r="C451" s="173"/>
      <c r="D451" s="167"/>
    </row>
    <row r="452" spans="2:4" ht="15">
      <c r="B452" s="166"/>
      <c r="C452" s="173"/>
      <c r="D452" s="167"/>
    </row>
    <row r="453" spans="2:4" ht="15">
      <c r="B453" s="166"/>
      <c r="C453" s="173"/>
      <c r="D453" s="167"/>
    </row>
    <row r="454" spans="2:4" ht="15">
      <c r="B454" s="166"/>
      <c r="C454" s="173"/>
      <c r="D454" s="167"/>
    </row>
    <row r="455" spans="2:4" ht="15">
      <c r="B455" s="166"/>
      <c r="C455" s="173"/>
      <c r="D455" s="167"/>
    </row>
    <row r="456" spans="2:4" ht="15">
      <c r="B456" s="166"/>
      <c r="C456" s="173"/>
      <c r="D456" s="167"/>
    </row>
    <row r="457" spans="2:4" ht="15">
      <c r="B457" s="166"/>
      <c r="C457" s="173"/>
      <c r="D457" s="167"/>
    </row>
    <row r="458" spans="2:4" ht="15">
      <c r="B458" s="166"/>
      <c r="C458" s="173"/>
      <c r="D458" s="167"/>
    </row>
    <row r="459" spans="2:4" ht="15">
      <c r="B459" s="166"/>
      <c r="C459" s="173"/>
      <c r="D459" s="167"/>
    </row>
    <row r="460" spans="2:4" ht="15">
      <c r="B460" s="166"/>
      <c r="C460" s="173"/>
      <c r="D460" s="167"/>
    </row>
    <row r="461" spans="2:4" ht="15">
      <c r="B461" s="166"/>
      <c r="C461" s="173"/>
      <c r="D461" s="167"/>
    </row>
    <row r="462" spans="2:4" ht="15">
      <c r="B462" s="166"/>
      <c r="C462" s="173"/>
      <c r="D462" s="167"/>
    </row>
    <row r="463" spans="2:4" ht="15">
      <c r="B463" s="166"/>
      <c r="C463" s="173"/>
      <c r="D463" s="167"/>
    </row>
    <row r="464" spans="2:4" ht="15">
      <c r="B464" s="166"/>
      <c r="C464" s="173"/>
      <c r="D464" s="167"/>
    </row>
    <row r="465" spans="2:4" ht="15">
      <c r="B465" s="166"/>
      <c r="C465" s="173"/>
      <c r="D465" s="167"/>
    </row>
    <row r="466" spans="2:4" ht="15">
      <c r="B466" s="166"/>
      <c r="C466" s="173"/>
      <c r="D466" s="167"/>
    </row>
    <row r="467" spans="2:4" ht="15">
      <c r="B467" s="166"/>
      <c r="C467" s="173"/>
      <c r="D467" s="167"/>
    </row>
    <row r="468" spans="2:4" ht="15">
      <c r="B468" s="166"/>
      <c r="C468" s="173"/>
      <c r="D468" s="167"/>
    </row>
    <row r="469" spans="2:4" ht="15">
      <c r="B469" s="166"/>
      <c r="C469" s="173"/>
      <c r="D469" s="167"/>
    </row>
    <row r="470" spans="2:4" ht="15">
      <c r="B470" s="166"/>
      <c r="C470" s="173"/>
      <c r="D470" s="167"/>
    </row>
    <row r="471" spans="2:4" ht="15">
      <c r="B471" s="166"/>
      <c r="C471" s="173"/>
      <c r="D471" s="167"/>
    </row>
    <row r="472" spans="2:4" ht="15">
      <c r="B472" s="166"/>
      <c r="C472" s="173"/>
      <c r="D472" s="167"/>
    </row>
    <row r="473" spans="2:4" ht="15">
      <c r="B473" s="166"/>
      <c r="C473" s="173"/>
      <c r="D473" s="167"/>
    </row>
    <row r="474" spans="2:4" ht="15">
      <c r="B474" s="166"/>
      <c r="C474" s="173"/>
      <c r="D474" s="167"/>
    </row>
    <row r="475" spans="2:4" ht="15">
      <c r="B475" s="166"/>
      <c r="C475" s="173"/>
      <c r="D475" s="167"/>
    </row>
    <row r="476" spans="2:4" ht="15">
      <c r="B476" s="166"/>
      <c r="C476" s="173"/>
      <c r="D476" s="167"/>
    </row>
    <row r="477" spans="2:4" ht="15">
      <c r="B477" s="166"/>
      <c r="C477" s="173"/>
      <c r="D477" s="167"/>
    </row>
    <row r="478" spans="2:4" ht="15">
      <c r="B478" s="166"/>
      <c r="C478" s="173"/>
      <c r="D478" s="167"/>
    </row>
    <row r="479" spans="2:4" ht="15">
      <c r="B479" s="166"/>
      <c r="C479" s="173"/>
      <c r="D479" s="167"/>
    </row>
    <row r="480" spans="2:4" ht="15">
      <c r="B480" s="166"/>
      <c r="C480" s="173"/>
      <c r="D480" s="167"/>
    </row>
    <row r="481" spans="2:4" ht="15">
      <c r="B481" s="166"/>
      <c r="C481" s="173"/>
      <c r="D481" s="167"/>
    </row>
    <row r="482" spans="2:4" ht="15">
      <c r="B482" s="166"/>
      <c r="C482" s="173"/>
      <c r="D482" s="167"/>
    </row>
    <row r="483" spans="2:4" ht="15">
      <c r="B483" s="166"/>
      <c r="C483" s="173"/>
      <c r="D483" s="167"/>
    </row>
    <row r="484" spans="2:4" ht="15">
      <c r="B484" s="166"/>
      <c r="C484" s="173"/>
      <c r="D484" s="167"/>
    </row>
    <row r="485" spans="2:4" ht="15">
      <c r="B485" s="166"/>
      <c r="C485" s="173"/>
      <c r="D485" s="167"/>
    </row>
    <row r="486" spans="2:4" ht="15">
      <c r="B486" s="166"/>
      <c r="C486" s="173"/>
      <c r="D486" s="167"/>
    </row>
    <row r="487" spans="2:4" ht="15">
      <c r="B487" s="166"/>
      <c r="C487" s="173"/>
      <c r="D487" s="167"/>
    </row>
    <row r="488" spans="2:4" ht="15">
      <c r="B488" s="166"/>
      <c r="C488" s="173"/>
      <c r="D488" s="167"/>
    </row>
    <row r="489" spans="2:4" ht="15">
      <c r="B489" s="166"/>
      <c r="C489" s="173"/>
      <c r="D489" s="167"/>
    </row>
    <row r="490" spans="2:4" ht="15">
      <c r="B490" s="166"/>
      <c r="C490" s="173"/>
      <c r="D490" s="167"/>
    </row>
    <row r="491" spans="2:4" ht="15">
      <c r="B491" s="166"/>
      <c r="C491" s="173"/>
      <c r="D491" s="167"/>
    </row>
    <row r="492" spans="2:4" ht="15">
      <c r="B492" s="166"/>
      <c r="C492" s="173"/>
      <c r="D492" s="167"/>
    </row>
    <row r="493" spans="2:4" ht="15">
      <c r="B493" s="166"/>
      <c r="C493" s="173"/>
      <c r="D493" s="167"/>
    </row>
    <row r="494" spans="2:4" ht="15">
      <c r="B494" s="166"/>
      <c r="C494" s="173"/>
      <c r="D494" s="167"/>
    </row>
    <row r="495" spans="2:4" ht="15">
      <c r="B495" s="166"/>
      <c r="C495" s="173"/>
      <c r="D495" s="167"/>
    </row>
    <row r="496" spans="2:4" ht="15">
      <c r="B496" s="166"/>
      <c r="C496" s="173"/>
      <c r="D496" s="167"/>
    </row>
    <row r="497" spans="2:4" ht="15">
      <c r="B497" s="166"/>
      <c r="C497" s="173"/>
      <c r="D497" s="167"/>
    </row>
    <row r="498" spans="2:4" ht="15">
      <c r="B498" s="166"/>
      <c r="C498" s="173"/>
      <c r="D498" s="167"/>
    </row>
    <row r="499" spans="2:4" ht="15">
      <c r="B499" s="166"/>
      <c r="C499" s="173"/>
      <c r="D499" s="167"/>
    </row>
    <row r="500" spans="2:4" ht="15">
      <c r="B500" s="166"/>
      <c r="C500" s="173"/>
      <c r="D500" s="167"/>
    </row>
    <row r="501" spans="2:4" ht="15">
      <c r="B501" s="166"/>
      <c r="C501" s="173"/>
      <c r="D501" s="167"/>
    </row>
    <row r="502" spans="2:4" ht="15">
      <c r="B502" s="166"/>
      <c r="C502" s="173"/>
      <c r="D502" s="167"/>
    </row>
    <row r="503" spans="2:4" ht="15">
      <c r="B503" s="166"/>
      <c r="C503" s="173"/>
      <c r="D503" s="167"/>
    </row>
    <row r="504" spans="2:4" ht="15">
      <c r="B504" s="166"/>
      <c r="C504" s="173"/>
      <c r="D504" s="167"/>
    </row>
    <row r="505" spans="2:4" ht="15">
      <c r="B505" s="166"/>
      <c r="C505" s="173"/>
      <c r="D505" s="167"/>
    </row>
    <row r="506" spans="2:4" ht="15">
      <c r="B506" s="166"/>
      <c r="C506" s="173"/>
      <c r="D506" s="167"/>
    </row>
    <row r="507" spans="2:4" ht="15">
      <c r="B507" s="166"/>
      <c r="C507" s="173"/>
      <c r="D507" s="167"/>
    </row>
    <row r="508" spans="2:4" ht="15">
      <c r="B508" s="166"/>
      <c r="C508" s="173"/>
      <c r="D508" s="167"/>
    </row>
    <row r="509" spans="2:4" ht="15">
      <c r="B509" s="166"/>
      <c r="C509" s="173"/>
      <c r="D509" s="167"/>
    </row>
    <row r="510" spans="2:4" ht="15">
      <c r="B510" s="166"/>
      <c r="C510" s="173"/>
      <c r="D510" s="167"/>
    </row>
    <row r="511" spans="2:4" ht="15">
      <c r="B511" s="166"/>
      <c r="C511" s="173"/>
      <c r="D511" s="167"/>
    </row>
    <row r="512" spans="2:4" ht="15">
      <c r="B512" s="166"/>
      <c r="C512" s="173"/>
      <c r="D512" s="167"/>
    </row>
    <row r="513" spans="2:4" ht="15">
      <c r="B513" s="166"/>
      <c r="C513" s="173"/>
      <c r="D513" s="167"/>
    </row>
    <row r="514" spans="2:4" ht="15">
      <c r="B514" s="166"/>
      <c r="C514" s="173"/>
      <c r="D514" s="167"/>
    </row>
    <row r="515" spans="2:4" ht="15">
      <c r="B515" s="166"/>
      <c r="C515" s="173"/>
      <c r="D515" s="167"/>
    </row>
    <row r="516" spans="2:4" ht="15">
      <c r="B516" s="166"/>
      <c r="C516" s="173"/>
      <c r="D516" s="167"/>
    </row>
    <row r="517" spans="2:4" ht="15">
      <c r="B517" s="166"/>
      <c r="C517" s="173"/>
      <c r="D517" s="167"/>
    </row>
    <row r="518" spans="2:4" ht="15">
      <c r="B518" s="166"/>
      <c r="C518" s="173"/>
      <c r="D518" s="167"/>
    </row>
    <row r="519" spans="2:4" ht="15">
      <c r="B519" s="166"/>
      <c r="C519" s="173"/>
      <c r="D519" s="167"/>
    </row>
    <row r="520" spans="2:4" ht="15">
      <c r="B520" s="166"/>
      <c r="C520" s="173"/>
      <c r="D520" s="167"/>
    </row>
    <row r="521" spans="2:4" ht="15">
      <c r="B521" s="166"/>
      <c r="C521" s="173"/>
      <c r="D521" s="167"/>
    </row>
    <row r="522" spans="2:4" ht="15">
      <c r="B522" s="166"/>
      <c r="C522" s="173"/>
      <c r="D522" s="167"/>
    </row>
    <row r="523" spans="2:4" ht="15">
      <c r="B523" s="166"/>
      <c r="C523" s="173"/>
      <c r="D523" s="167"/>
    </row>
    <row r="524" spans="2:4" ht="15">
      <c r="B524" s="166"/>
      <c r="C524" s="173"/>
      <c r="D524" s="167"/>
    </row>
    <row r="525" spans="2:4" ht="15">
      <c r="B525" s="166"/>
      <c r="C525" s="173"/>
      <c r="D525" s="167"/>
    </row>
    <row r="526" spans="2:4" ht="15">
      <c r="B526" s="166"/>
      <c r="C526" s="173"/>
      <c r="D526" s="167"/>
    </row>
    <row r="527" spans="2:4" ht="15">
      <c r="B527" s="166"/>
      <c r="C527" s="173"/>
      <c r="D527" s="167"/>
    </row>
    <row r="528" spans="2:4" ht="15">
      <c r="B528" s="166"/>
      <c r="C528" s="173"/>
      <c r="D528" s="167"/>
    </row>
    <row r="529" spans="2:4" ht="15">
      <c r="B529" s="166"/>
      <c r="C529" s="173"/>
      <c r="D529" s="167"/>
    </row>
    <row r="530" spans="2:4" ht="15">
      <c r="B530" s="166"/>
      <c r="C530" s="173"/>
      <c r="D530" s="167"/>
    </row>
    <row r="531" spans="2:4" ht="15">
      <c r="B531" s="166"/>
      <c r="C531" s="173"/>
      <c r="D531" s="167"/>
    </row>
    <row r="532" spans="2:4" ht="15">
      <c r="B532" s="166"/>
      <c r="C532" s="173"/>
      <c r="D532" s="167"/>
    </row>
    <row r="533" spans="2:4" ht="15">
      <c r="B533" s="166"/>
      <c r="C533" s="173"/>
      <c r="D533" s="167"/>
    </row>
    <row r="534" spans="2:4" ht="15">
      <c r="B534" s="166"/>
      <c r="C534" s="173"/>
      <c r="D534" s="167"/>
    </row>
    <row r="535" spans="2:4" ht="15">
      <c r="B535" s="166"/>
      <c r="C535" s="173"/>
      <c r="D535" s="167"/>
    </row>
    <row r="536" spans="2:4" ht="15">
      <c r="B536" s="166"/>
      <c r="C536" s="173"/>
      <c r="D536" s="167"/>
    </row>
    <row r="537" spans="2:4" ht="15">
      <c r="B537" s="166"/>
      <c r="C537" s="173"/>
      <c r="D537" s="167"/>
    </row>
    <row r="538" spans="2:4" ht="15">
      <c r="B538" s="166"/>
      <c r="C538" s="173"/>
      <c r="D538" s="167"/>
    </row>
    <row r="539" spans="2:4" ht="15">
      <c r="B539" s="166"/>
      <c r="C539" s="173"/>
      <c r="D539" s="167"/>
    </row>
    <row r="540" spans="2:4" ht="15">
      <c r="B540" s="166"/>
      <c r="C540" s="173"/>
      <c r="D540" s="167"/>
    </row>
    <row r="541" spans="2:4" ht="15">
      <c r="B541" s="166"/>
      <c r="C541" s="173"/>
      <c r="D541" s="167"/>
    </row>
    <row r="542" spans="2:4" ht="15">
      <c r="B542" s="166"/>
      <c r="C542" s="173"/>
      <c r="D542" s="167"/>
    </row>
    <row r="543" spans="2:4" ht="15">
      <c r="B543" s="166"/>
      <c r="C543" s="173"/>
      <c r="D543" s="167"/>
    </row>
    <row r="544" spans="2:4" ht="15">
      <c r="B544" s="166"/>
      <c r="C544" s="173"/>
      <c r="D544" s="167"/>
    </row>
    <row r="545" spans="2:4" ht="15">
      <c r="B545" s="166"/>
      <c r="C545" s="173"/>
      <c r="D545" s="167"/>
    </row>
    <row r="546" spans="2:4" ht="15">
      <c r="B546" s="166"/>
      <c r="C546" s="173"/>
      <c r="D546" s="167"/>
    </row>
    <row r="547" spans="2:4" ht="15">
      <c r="B547" s="166"/>
      <c r="C547" s="173"/>
      <c r="D547" s="167"/>
    </row>
    <row r="548" spans="2:4" ht="15">
      <c r="B548" s="166"/>
      <c r="C548" s="173"/>
      <c r="D548" s="167"/>
    </row>
    <row r="549" spans="2:4" ht="15">
      <c r="B549" s="166"/>
      <c r="C549" s="173"/>
      <c r="D549" s="167"/>
    </row>
    <row r="550" spans="2:4" ht="15">
      <c r="B550" s="166"/>
      <c r="C550" s="173"/>
      <c r="D550" s="167"/>
    </row>
    <row r="551" spans="2:4" ht="15">
      <c r="B551" s="166"/>
      <c r="C551" s="173"/>
      <c r="D551" s="167"/>
    </row>
    <row r="552" spans="2:4" ht="15">
      <c r="B552" s="166"/>
      <c r="C552" s="173"/>
      <c r="D552" s="167"/>
    </row>
    <row r="553" spans="2:4" ht="15">
      <c r="B553" s="166"/>
      <c r="C553" s="173"/>
      <c r="D553" s="167"/>
    </row>
    <row r="554" spans="2:4" ht="15">
      <c r="B554" s="166"/>
      <c r="C554" s="173"/>
      <c r="D554" s="167"/>
    </row>
    <row r="555" spans="2:4" ht="15">
      <c r="B555" s="166"/>
      <c r="C555" s="173"/>
      <c r="D555" s="167"/>
    </row>
    <row r="556" spans="2:4" ht="15">
      <c r="B556" s="166"/>
      <c r="C556" s="173"/>
      <c r="D556" s="167"/>
    </row>
    <row r="557" spans="2:4" ht="15">
      <c r="B557" s="166"/>
      <c r="C557" s="173"/>
      <c r="D557" s="167"/>
    </row>
    <row r="558" spans="2:4" ht="15">
      <c r="B558" s="166"/>
      <c r="C558" s="173"/>
      <c r="D558" s="167"/>
    </row>
    <row r="559" spans="2:4" ht="15">
      <c r="B559" s="166"/>
      <c r="C559" s="173"/>
      <c r="D559" s="167"/>
    </row>
    <row r="560" spans="2:4" ht="15">
      <c r="B560" s="166"/>
      <c r="C560" s="173"/>
      <c r="D560" s="167"/>
    </row>
    <row r="561" spans="2:4" ht="15">
      <c r="B561" s="166"/>
      <c r="C561" s="173"/>
      <c r="D561" s="167"/>
    </row>
    <row r="562" spans="2:4" ht="15">
      <c r="B562" s="166"/>
      <c r="C562" s="173"/>
      <c r="D562" s="167"/>
    </row>
    <row r="563" spans="2:4" ht="15">
      <c r="B563" s="166"/>
      <c r="C563" s="173"/>
      <c r="D563" s="167"/>
    </row>
    <row r="564" spans="2:4" ht="15">
      <c r="B564" s="166"/>
      <c r="C564" s="173"/>
      <c r="D564" s="167"/>
    </row>
    <row r="565" spans="2:4" ht="15">
      <c r="B565" s="166"/>
      <c r="C565" s="173"/>
      <c r="D565" s="167"/>
    </row>
    <row r="566" spans="2:4" ht="15">
      <c r="B566" s="166"/>
      <c r="C566" s="173"/>
      <c r="D566" s="167"/>
    </row>
    <row r="567" spans="2:4" ht="15">
      <c r="B567" s="166"/>
      <c r="C567" s="173"/>
      <c r="D567" s="167"/>
    </row>
    <row r="568" spans="2:4" ht="15">
      <c r="B568" s="166"/>
      <c r="C568" s="173"/>
      <c r="D568" s="167"/>
    </row>
    <row r="569" spans="2:4" ht="15">
      <c r="B569" s="166"/>
      <c r="C569" s="173"/>
      <c r="D569" s="167"/>
    </row>
    <row r="570" spans="2:4" ht="15">
      <c r="B570" s="166"/>
      <c r="C570" s="173"/>
      <c r="D570" s="167"/>
    </row>
    <row r="571" spans="2:4" ht="15">
      <c r="B571" s="166"/>
      <c r="C571" s="173"/>
      <c r="D571" s="167"/>
    </row>
    <row r="572" spans="2:4" ht="15">
      <c r="B572" s="166"/>
      <c r="C572" s="173"/>
      <c r="D572" s="167"/>
    </row>
    <row r="573" spans="2:4" ht="15">
      <c r="B573" s="166"/>
      <c r="C573" s="173"/>
      <c r="D573" s="167"/>
    </row>
    <row r="574" spans="2:4" ht="15">
      <c r="B574" s="166"/>
      <c r="C574" s="173"/>
      <c r="D574" s="167"/>
    </row>
    <row r="575" spans="2:4" ht="15">
      <c r="B575" s="166"/>
      <c r="C575" s="173"/>
      <c r="D575" s="167"/>
    </row>
    <row r="576" spans="2:4" ht="15">
      <c r="B576" s="166"/>
      <c r="C576" s="173"/>
      <c r="D576" s="167"/>
    </row>
    <row r="577" spans="2:4" ht="15">
      <c r="B577" s="166"/>
      <c r="C577" s="173"/>
      <c r="D577" s="167"/>
    </row>
    <row r="578" spans="2:4" ht="15">
      <c r="B578" s="166"/>
      <c r="C578" s="173"/>
      <c r="D578" s="167"/>
    </row>
    <row r="579" spans="2:4" ht="15">
      <c r="B579" s="166"/>
      <c r="C579" s="173"/>
      <c r="D579" s="167"/>
    </row>
    <row r="580" spans="2:4" ht="15">
      <c r="B580" s="166"/>
      <c r="C580" s="173"/>
      <c r="D580" s="167"/>
    </row>
    <row r="581" spans="2:4" ht="15">
      <c r="B581" s="166"/>
      <c r="C581" s="173"/>
      <c r="D581" s="167"/>
    </row>
    <row r="582" spans="2:4" ht="15">
      <c r="B582" s="166"/>
      <c r="C582" s="173"/>
      <c r="D582" s="167"/>
    </row>
    <row r="583" spans="2:4" ht="15">
      <c r="B583" s="166"/>
      <c r="C583" s="173"/>
      <c r="D583" s="167"/>
    </row>
    <row r="584" spans="2:4" ht="15">
      <c r="B584" s="166"/>
      <c r="C584" s="173"/>
      <c r="D584" s="167"/>
    </row>
    <row r="585" spans="2:4" ht="15">
      <c r="B585" s="166"/>
      <c r="C585" s="173"/>
      <c r="D585" s="167"/>
    </row>
    <row r="586" spans="2:4" ht="15">
      <c r="B586" s="166"/>
      <c r="C586" s="173"/>
      <c r="D586" s="167"/>
    </row>
    <row r="587" spans="2:4" ht="15">
      <c r="B587" s="166"/>
      <c r="C587" s="173"/>
      <c r="D587" s="167"/>
    </row>
    <row r="588" spans="2:4" ht="15">
      <c r="B588" s="166"/>
      <c r="C588" s="173"/>
      <c r="D588" s="167"/>
    </row>
    <row r="589" spans="2:4" ht="15">
      <c r="B589" s="166"/>
      <c r="C589" s="173"/>
      <c r="D589" s="167"/>
    </row>
    <row r="590" spans="2:4" ht="15">
      <c r="B590" s="166"/>
      <c r="C590" s="173"/>
      <c r="D590" s="167"/>
    </row>
    <row r="591" spans="2:4" ht="15">
      <c r="B591" s="166"/>
      <c r="C591" s="173"/>
      <c r="D591" s="167"/>
    </row>
    <row r="592" spans="2:4" ht="15">
      <c r="B592" s="166"/>
      <c r="C592" s="173"/>
      <c r="D592" s="167"/>
    </row>
    <row r="593" spans="2:4" ht="15">
      <c r="B593" s="166"/>
      <c r="C593" s="173"/>
      <c r="D593" s="167"/>
    </row>
    <row r="594" spans="2:4" ht="15">
      <c r="B594" s="166"/>
      <c r="C594" s="173"/>
      <c r="D594" s="167"/>
    </row>
    <row r="595" spans="2:4" ht="15">
      <c r="B595" s="166"/>
      <c r="C595" s="173"/>
      <c r="D595" s="167"/>
    </row>
    <row r="596" spans="2:4" ht="15">
      <c r="B596" s="166"/>
      <c r="C596" s="173"/>
      <c r="D596" s="167"/>
    </row>
    <row r="597" spans="2:4" ht="15">
      <c r="B597" s="166"/>
      <c r="C597" s="173"/>
      <c r="D597" s="167"/>
    </row>
    <row r="598" spans="2:4" ht="15">
      <c r="B598" s="166"/>
      <c r="C598" s="173"/>
      <c r="D598" s="167"/>
    </row>
    <row r="599" spans="2:4" ht="15">
      <c r="B599" s="166"/>
      <c r="C599" s="173"/>
      <c r="D599" s="167"/>
    </row>
    <row r="600" spans="2:4" ht="15">
      <c r="B600" s="166"/>
      <c r="C600" s="173"/>
      <c r="D600" s="167"/>
    </row>
    <row r="601" spans="2:4" ht="15">
      <c r="B601" s="166"/>
      <c r="C601" s="173"/>
      <c r="D601" s="167"/>
    </row>
    <row r="602" spans="2:4" ht="15">
      <c r="B602" s="166"/>
      <c r="C602" s="173"/>
      <c r="D602" s="167"/>
    </row>
    <row r="603" spans="2:4" ht="15">
      <c r="B603" s="166"/>
      <c r="C603" s="173"/>
      <c r="D603" s="167"/>
    </row>
    <row r="604" spans="2:4" ht="15">
      <c r="B604" s="166"/>
      <c r="C604" s="173"/>
      <c r="D604" s="167"/>
    </row>
    <row r="605" spans="2:4" ht="15">
      <c r="B605" s="166"/>
      <c r="C605" s="173"/>
      <c r="D605" s="167"/>
    </row>
    <row r="606" spans="2:4" ht="15">
      <c r="B606" s="166"/>
      <c r="C606" s="173"/>
      <c r="D606" s="167"/>
    </row>
    <row r="607" spans="2:4" ht="15">
      <c r="B607" s="166"/>
      <c r="C607" s="173"/>
      <c r="D607" s="167"/>
    </row>
    <row r="608" spans="2:4" ht="15">
      <c r="B608" s="166"/>
      <c r="C608" s="173"/>
      <c r="D608" s="167"/>
    </row>
    <row r="609" spans="2:4" ht="15">
      <c r="B609" s="166"/>
      <c r="C609" s="173"/>
      <c r="D609" s="167"/>
    </row>
    <row r="610" spans="2:4" ht="15">
      <c r="B610" s="166"/>
      <c r="C610" s="173"/>
      <c r="D610" s="167"/>
    </row>
    <row r="611" spans="2:4" ht="15">
      <c r="B611" s="166"/>
      <c r="C611" s="173"/>
      <c r="D611" s="167"/>
    </row>
    <row r="612" spans="2:4" ht="15">
      <c r="B612" s="166"/>
      <c r="C612" s="173"/>
      <c r="D612" s="167"/>
    </row>
    <row r="613" spans="2:4" ht="15">
      <c r="B613" s="166"/>
      <c r="C613" s="173"/>
      <c r="D613" s="167"/>
    </row>
    <row r="614" spans="2:4" ht="15">
      <c r="B614" s="166"/>
      <c r="C614" s="173"/>
      <c r="D614" s="167"/>
    </row>
    <row r="615" spans="2:4" ht="15">
      <c r="B615" s="166"/>
      <c r="C615" s="173"/>
      <c r="D615" s="167"/>
    </row>
    <row r="616" spans="2:4" ht="15">
      <c r="B616" s="166"/>
      <c r="C616" s="173"/>
      <c r="D616" s="167"/>
    </row>
    <row r="617" spans="2:4" ht="15">
      <c r="B617" s="166"/>
      <c r="C617" s="173"/>
      <c r="D617" s="167"/>
    </row>
    <row r="618" spans="2:4" ht="15">
      <c r="B618" s="166"/>
      <c r="C618" s="173"/>
      <c r="D618" s="167"/>
    </row>
    <row r="619" spans="2:4" ht="15">
      <c r="B619" s="166"/>
      <c r="C619" s="173"/>
      <c r="D619" s="167"/>
    </row>
    <row r="620" spans="2:4" ht="15">
      <c r="B620" s="166"/>
      <c r="C620" s="173"/>
      <c r="D620" s="167"/>
    </row>
    <row r="621" spans="2:4" ht="15">
      <c r="B621" s="166"/>
      <c r="C621" s="173"/>
      <c r="D621" s="167"/>
    </row>
    <row r="622" spans="2:4" ht="15">
      <c r="B622" s="166"/>
      <c r="C622" s="173"/>
      <c r="D622" s="167"/>
    </row>
    <row r="623" spans="2:4" ht="15">
      <c r="B623" s="166"/>
      <c r="C623" s="173"/>
      <c r="D623" s="167"/>
    </row>
    <row r="624" spans="2:4" ht="15">
      <c r="B624" s="166"/>
      <c r="C624" s="173"/>
      <c r="D624" s="167"/>
    </row>
    <row r="625" spans="2:4" ht="15">
      <c r="B625" s="166"/>
      <c r="C625" s="173"/>
      <c r="D625" s="167"/>
    </row>
    <row r="626" spans="2:4" ht="15">
      <c r="B626" s="166"/>
      <c r="C626" s="173"/>
      <c r="D626" s="167"/>
    </row>
    <row r="627" spans="2:4" ht="15">
      <c r="B627" s="166"/>
      <c r="C627" s="173"/>
      <c r="D627" s="167"/>
    </row>
    <row r="628" spans="2:4" ht="15">
      <c r="B628" s="166"/>
      <c r="C628" s="173"/>
      <c r="D628" s="167"/>
    </row>
    <row r="629" spans="2:4" ht="15">
      <c r="B629" s="166"/>
      <c r="C629" s="173"/>
      <c r="D629" s="167"/>
    </row>
    <row r="630" spans="2:4" ht="15">
      <c r="B630" s="166"/>
      <c r="C630" s="173"/>
      <c r="D630" s="167"/>
    </row>
    <row r="631" spans="2:4" ht="15">
      <c r="B631" s="166"/>
      <c r="C631" s="173"/>
      <c r="D631" s="167"/>
    </row>
    <row r="632" spans="2:4" ht="15">
      <c r="B632" s="166"/>
      <c r="C632" s="173"/>
      <c r="D632" s="167"/>
    </row>
    <row r="633" spans="2:4" ht="15">
      <c r="B633" s="166"/>
      <c r="C633" s="173"/>
      <c r="D633" s="167"/>
    </row>
    <row r="634" spans="2:4" ht="15">
      <c r="B634" s="166"/>
      <c r="C634" s="173"/>
      <c r="D634" s="167"/>
    </row>
    <row r="635" spans="2:4" ht="15">
      <c r="B635" s="166"/>
      <c r="C635" s="173"/>
      <c r="D635" s="167"/>
    </row>
    <row r="636" spans="2:4" ht="15">
      <c r="B636" s="166"/>
      <c r="C636" s="173"/>
      <c r="D636" s="167"/>
    </row>
    <row r="637" spans="2:4" ht="15">
      <c r="B637" s="166"/>
      <c r="C637" s="173"/>
      <c r="D637" s="167"/>
    </row>
    <row r="638" spans="2:4" ht="15">
      <c r="B638" s="166"/>
      <c r="C638" s="173"/>
      <c r="D638" s="167"/>
    </row>
    <row r="639" spans="2:4" ht="15">
      <c r="B639" s="166"/>
      <c r="C639" s="173"/>
      <c r="D639" s="167"/>
    </row>
    <row r="640" spans="2:4" ht="15">
      <c r="B640" s="166"/>
      <c r="C640" s="173"/>
      <c r="D640" s="167"/>
    </row>
    <row r="641" spans="2:4" ht="15">
      <c r="B641" s="166"/>
      <c r="C641" s="173"/>
      <c r="D641" s="167"/>
    </row>
    <row r="642" spans="2:4" ht="15">
      <c r="B642" s="166"/>
      <c r="C642" s="173"/>
      <c r="D642" s="167"/>
    </row>
    <row r="643" spans="2:4" ht="15">
      <c r="B643" s="166"/>
      <c r="C643" s="173"/>
      <c r="D643" s="167"/>
    </row>
    <row r="644" spans="2:4" ht="15">
      <c r="B644" s="166"/>
      <c r="C644" s="173"/>
      <c r="D644" s="167"/>
    </row>
    <row r="645" spans="2:4" ht="15">
      <c r="B645" s="166"/>
      <c r="C645" s="173"/>
      <c r="D645" s="167"/>
    </row>
    <row r="646" spans="2:4" ht="15">
      <c r="B646" s="166"/>
      <c r="C646" s="173"/>
      <c r="D646" s="167"/>
    </row>
    <row r="647" spans="2:4" ht="15">
      <c r="B647" s="166"/>
      <c r="C647" s="173"/>
      <c r="D647" s="167"/>
    </row>
    <row r="648" spans="2:4" ht="15">
      <c r="B648" s="166"/>
      <c r="C648" s="173"/>
      <c r="D648" s="167"/>
    </row>
    <row r="649" spans="2:4" ht="15">
      <c r="B649" s="166"/>
      <c r="C649" s="173"/>
      <c r="D649" s="167"/>
    </row>
    <row r="650" spans="2:4" ht="15">
      <c r="B650" s="166"/>
      <c r="C650" s="173"/>
      <c r="D650" s="167"/>
    </row>
    <row r="651" spans="2:4" ht="15">
      <c r="B651" s="166"/>
      <c r="C651" s="173"/>
      <c r="D651" s="167"/>
    </row>
    <row r="652" spans="2:4" ht="15">
      <c r="B652" s="166"/>
      <c r="C652" s="173"/>
      <c r="D652" s="167"/>
    </row>
    <row r="653" spans="2:4" ht="15">
      <c r="B653" s="166"/>
      <c r="C653" s="173"/>
      <c r="D653" s="167"/>
    </row>
    <row r="654" spans="2:4" ht="15">
      <c r="B654" s="166"/>
      <c r="C654" s="173"/>
      <c r="D654" s="167"/>
    </row>
    <row r="655" spans="2:4" ht="15">
      <c r="B655" s="166"/>
      <c r="C655" s="173"/>
      <c r="D655" s="167"/>
    </row>
    <row r="656" spans="2:4" ht="15">
      <c r="B656" s="166"/>
      <c r="C656" s="173"/>
      <c r="D656" s="167"/>
    </row>
    <row r="657" spans="2:4" ht="15">
      <c r="B657" s="166"/>
      <c r="C657" s="173"/>
      <c r="D657" s="167"/>
    </row>
    <row r="658" spans="2:4" ht="15">
      <c r="B658" s="166"/>
      <c r="C658" s="173"/>
      <c r="D658" s="167"/>
    </row>
    <row r="659" spans="2:4" ht="15">
      <c r="B659" s="166"/>
      <c r="C659" s="173"/>
      <c r="D659" s="167"/>
    </row>
    <row r="660" spans="2:4" ht="15">
      <c r="B660" s="166"/>
      <c r="C660" s="173"/>
      <c r="D660" s="167"/>
    </row>
    <row r="661" spans="2:4" ht="15">
      <c r="B661" s="166"/>
      <c r="C661" s="173"/>
      <c r="D661" s="167"/>
    </row>
    <row r="662" spans="2:4" ht="15">
      <c r="B662" s="166"/>
      <c r="C662" s="173"/>
      <c r="D662" s="167"/>
    </row>
    <row r="663" spans="2:4" ht="15">
      <c r="B663" s="166"/>
      <c r="C663" s="173"/>
      <c r="D663" s="167"/>
    </row>
    <row r="664" spans="2:4" ht="15">
      <c r="B664" s="166"/>
      <c r="C664" s="173"/>
      <c r="D664" s="167"/>
    </row>
    <row r="665" spans="2:4" ht="15">
      <c r="B665" s="166"/>
      <c r="C665" s="173"/>
      <c r="D665" s="167"/>
    </row>
    <row r="666" spans="2:4" ht="15">
      <c r="B666" s="166"/>
      <c r="C666" s="173"/>
      <c r="D666" s="167"/>
    </row>
    <row r="667" spans="2:4" ht="15">
      <c r="B667" s="166"/>
      <c r="C667" s="173"/>
      <c r="D667" s="167"/>
    </row>
    <row r="668" spans="2:4" ht="15">
      <c r="B668" s="166"/>
      <c r="C668" s="173"/>
      <c r="D668" s="167"/>
    </row>
    <row r="669" spans="2:4" ht="15">
      <c r="B669" s="166"/>
      <c r="C669" s="173"/>
      <c r="D669" s="167"/>
    </row>
    <row r="670" spans="2:4" ht="15">
      <c r="B670" s="166"/>
      <c r="C670" s="173"/>
      <c r="D670" s="167"/>
    </row>
    <row r="671" spans="2:4" ht="15">
      <c r="B671" s="166"/>
      <c r="C671" s="173"/>
      <c r="D671" s="167"/>
    </row>
    <row r="672" spans="2:4" ht="15">
      <c r="B672" s="166"/>
      <c r="C672" s="173"/>
      <c r="D672" s="167"/>
    </row>
    <row r="673" spans="2:4" ht="15">
      <c r="B673" s="166"/>
      <c r="C673" s="173"/>
      <c r="D673" s="167"/>
    </row>
    <row r="674" spans="2:4" ht="15">
      <c r="B674" s="166"/>
      <c r="C674" s="173"/>
      <c r="D674" s="167"/>
    </row>
    <row r="675" spans="2:4" ht="15">
      <c r="B675" s="166"/>
      <c r="C675" s="173"/>
      <c r="D675" s="167"/>
    </row>
    <row r="676" spans="2:4" ht="15">
      <c r="B676" s="166"/>
      <c r="C676" s="173"/>
      <c r="D676" s="167"/>
    </row>
    <row r="677" spans="2:4" ht="15">
      <c r="B677" s="166"/>
      <c r="C677" s="173"/>
      <c r="D677" s="167"/>
    </row>
    <row r="678" spans="2:4" ht="15">
      <c r="B678" s="166"/>
      <c r="C678" s="173"/>
      <c r="D678" s="167"/>
    </row>
    <row r="679" spans="2:4" ht="15">
      <c r="B679" s="166"/>
      <c r="C679" s="173"/>
      <c r="D679" s="167"/>
    </row>
    <row r="680" spans="2:4" ht="15">
      <c r="B680" s="166"/>
      <c r="C680" s="173"/>
      <c r="D680" s="167"/>
    </row>
    <row r="681" spans="2:4" ht="15">
      <c r="B681" s="166"/>
      <c r="C681" s="173"/>
      <c r="D681" s="167"/>
    </row>
    <row r="682" spans="2:4" ht="15">
      <c r="B682" s="166"/>
      <c r="C682" s="173"/>
      <c r="D682" s="167"/>
    </row>
    <row r="683" spans="2:4" ht="15">
      <c r="B683" s="166"/>
      <c r="C683" s="173"/>
      <c r="D683" s="167"/>
    </row>
    <row r="684" spans="2:4" ht="15">
      <c r="B684" s="166"/>
      <c r="C684" s="173"/>
      <c r="D684" s="167"/>
    </row>
    <row r="685" spans="2:4" ht="15">
      <c r="B685" s="166"/>
      <c r="C685" s="173"/>
      <c r="D685" s="167"/>
    </row>
    <row r="686" spans="2:4" ht="15">
      <c r="B686" s="166"/>
      <c r="C686" s="173"/>
      <c r="D686" s="167"/>
    </row>
    <row r="687" spans="2:4" ht="15">
      <c r="B687" s="166"/>
      <c r="C687" s="173"/>
      <c r="D687" s="167"/>
    </row>
    <row r="688" spans="2:4" ht="15">
      <c r="B688" s="166"/>
      <c r="C688" s="173"/>
      <c r="D688" s="167"/>
    </row>
    <row r="689" spans="2:4" ht="15">
      <c r="B689" s="166"/>
      <c r="C689" s="173"/>
      <c r="D689" s="167"/>
    </row>
    <row r="690" spans="2:4" ht="15">
      <c r="B690" s="166"/>
      <c r="C690" s="173"/>
      <c r="D690" s="167"/>
    </row>
    <row r="691" spans="2:4" ht="15">
      <c r="B691" s="166"/>
      <c r="C691" s="173"/>
      <c r="D691" s="167"/>
    </row>
    <row r="692" spans="2:4" ht="15">
      <c r="B692" s="166"/>
      <c r="C692" s="173"/>
      <c r="D692" s="167"/>
    </row>
    <row r="693" spans="2:4" ht="15">
      <c r="B693" s="166"/>
      <c r="C693" s="173"/>
      <c r="D693" s="167"/>
    </row>
    <row r="694" spans="2:4" ht="15">
      <c r="B694" s="166"/>
      <c r="C694" s="173"/>
      <c r="D694" s="167"/>
    </row>
    <row r="695" spans="2:4" ht="15">
      <c r="B695" s="166"/>
      <c r="C695" s="173"/>
      <c r="D695" s="167"/>
    </row>
    <row r="696" spans="2:4" ht="15">
      <c r="B696" s="166"/>
      <c r="C696" s="173"/>
      <c r="D696" s="167"/>
    </row>
    <row r="697" spans="2:4" ht="15">
      <c r="B697" s="166"/>
      <c r="C697" s="173"/>
      <c r="D697" s="167"/>
    </row>
    <row r="698" spans="2:4" ht="15">
      <c r="B698" s="166"/>
      <c r="C698" s="173"/>
      <c r="D698" s="167"/>
    </row>
    <row r="699" spans="2:4" ht="15">
      <c r="B699" s="166"/>
      <c r="C699" s="173"/>
      <c r="D699" s="167"/>
    </row>
    <row r="700" spans="2:4" ht="15">
      <c r="B700" s="166"/>
      <c r="C700" s="173"/>
      <c r="D700" s="167"/>
    </row>
    <row r="701" spans="2:4" ht="15">
      <c r="B701" s="166"/>
      <c r="C701" s="173"/>
      <c r="D701" s="167"/>
    </row>
    <row r="702" spans="2:4" ht="15">
      <c r="B702" s="166"/>
      <c r="C702" s="173"/>
      <c r="D702" s="167"/>
    </row>
    <row r="703" spans="2:4" ht="15">
      <c r="B703" s="166"/>
      <c r="C703" s="173"/>
      <c r="D703" s="167"/>
    </row>
    <row r="704" spans="2:4" ht="15">
      <c r="B704" s="166"/>
      <c r="C704" s="173"/>
      <c r="D704" s="167"/>
    </row>
    <row r="705" spans="2:4" ht="15">
      <c r="B705" s="166"/>
      <c r="C705" s="173"/>
      <c r="D705" s="167"/>
    </row>
    <row r="706" spans="2:4" ht="15">
      <c r="B706" s="166"/>
      <c r="C706" s="173"/>
      <c r="D706" s="167"/>
    </row>
    <row r="707" spans="2:4" ht="15">
      <c r="B707" s="166"/>
      <c r="C707" s="173"/>
      <c r="D707" s="167"/>
    </row>
    <row r="708" spans="2:4" ht="15">
      <c r="B708" s="166"/>
      <c r="C708" s="173"/>
      <c r="D708" s="167"/>
    </row>
    <row r="709" spans="2:4" ht="15">
      <c r="B709" s="166"/>
      <c r="C709" s="173"/>
      <c r="D709" s="167"/>
    </row>
    <row r="710" spans="2:4" ht="15">
      <c r="B710" s="166"/>
      <c r="C710" s="173"/>
      <c r="D710" s="167"/>
    </row>
    <row r="711" spans="2:4" ht="15">
      <c r="B711" s="166"/>
      <c r="C711" s="173"/>
      <c r="D711" s="167"/>
    </row>
    <row r="712" spans="2:4" ht="15">
      <c r="B712" s="166"/>
      <c r="C712" s="173"/>
      <c r="D712" s="167"/>
    </row>
    <row r="713" spans="2:4" ht="15">
      <c r="B713" s="166"/>
      <c r="C713" s="173"/>
      <c r="D713" s="167"/>
    </row>
    <row r="714" spans="2:4" ht="15">
      <c r="B714" s="166"/>
      <c r="C714" s="173"/>
      <c r="D714" s="167"/>
    </row>
    <row r="715" spans="2:4" ht="15">
      <c r="B715" s="166"/>
      <c r="C715" s="173"/>
      <c r="D715" s="167"/>
    </row>
    <row r="716" spans="2:4" ht="15">
      <c r="B716" s="166"/>
      <c r="C716" s="173"/>
      <c r="D716" s="167"/>
    </row>
    <row r="717" spans="2:4" ht="15">
      <c r="B717" s="166"/>
      <c r="C717" s="173"/>
      <c r="D717" s="167"/>
    </row>
    <row r="718" spans="2:4" ht="15">
      <c r="B718" s="166"/>
      <c r="C718" s="173"/>
      <c r="D718" s="167"/>
    </row>
    <row r="719" spans="2:4" ht="15">
      <c r="B719" s="166"/>
      <c r="C719" s="173"/>
      <c r="D719" s="167"/>
    </row>
    <row r="720" spans="2:4" ht="15">
      <c r="B720" s="166"/>
      <c r="C720" s="173"/>
      <c r="D720" s="167"/>
    </row>
    <row r="721" spans="2:4" ht="15">
      <c r="B721" s="166"/>
      <c r="C721" s="173"/>
      <c r="D721" s="167"/>
    </row>
    <row r="722" spans="2:4" ht="15">
      <c r="B722" s="166"/>
      <c r="C722" s="173"/>
      <c r="D722" s="167"/>
    </row>
    <row r="723" spans="2:4" ht="15">
      <c r="B723" s="166"/>
      <c r="C723" s="173"/>
      <c r="D723" s="167"/>
    </row>
    <row r="724" spans="2:4" ht="15">
      <c r="B724" s="166"/>
      <c r="C724" s="173"/>
      <c r="D724" s="167"/>
    </row>
    <row r="725" spans="2:4" ht="15">
      <c r="B725" s="166"/>
      <c r="C725" s="173"/>
      <c r="D725" s="167"/>
    </row>
    <row r="726" spans="2:4" ht="15">
      <c r="B726" s="166"/>
      <c r="C726" s="173"/>
      <c r="D726" s="167"/>
    </row>
    <row r="727" spans="2:4" ht="15">
      <c r="B727" s="166"/>
      <c r="C727" s="173"/>
      <c r="D727" s="167"/>
    </row>
    <row r="728" spans="2:4" ht="15">
      <c r="B728" s="166"/>
      <c r="C728" s="173"/>
      <c r="D728" s="167"/>
    </row>
    <row r="729" spans="2:4" ht="15">
      <c r="B729" s="166"/>
      <c r="C729" s="173"/>
      <c r="D729" s="167"/>
    </row>
    <row r="730" spans="2:4" ht="15">
      <c r="B730" s="166"/>
      <c r="C730" s="173"/>
      <c r="D730" s="167"/>
    </row>
    <row r="731" spans="2:4" ht="15">
      <c r="B731" s="166"/>
      <c r="C731" s="173"/>
      <c r="D731" s="167"/>
    </row>
    <row r="732" spans="2:4" ht="15">
      <c r="B732" s="166"/>
      <c r="C732" s="173"/>
      <c r="D732" s="167"/>
    </row>
    <row r="733" spans="2:4" ht="15">
      <c r="B733" s="166"/>
      <c r="C733" s="173"/>
      <c r="D733" s="167"/>
    </row>
    <row r="734" spans="2:4" ht="15">
      <c r="B734" s="166"/>
      <c r="C734" s="173"/>
      <c r="D734" s="167"/>
    </row>
    <row r="735" spans="2:4" ht="15">
      <c r="B735" s="166"/>
      <c r="C735" s="173"/>
      <c r="D735" s="167"/>
    </row>
    <row r="736" spans="2:4" ht="15">
      <c r="B736" s="166"/>
      <c r="C736" s="173"/>
      <c r="D736" s="167"/>
    </row>
    <row r="737" spans="2:4" ht="15">
      <c r="B737" s="166"/>
      <c r="C737" s="173"/>
      <c r="D737" s="167"/>
    </row>
    <row r="738" spans="2:4" ht="15">
      <c r="B738" s="166"/>
      <c r="C738" s="173"/>
      <c r="D738" s="167"/>
    </row>
    <row r="739" spans="2:4" ht="15">
      <c r="B739" s="166"/>
      <c r="C739" s="173"/>
      <c r="D739" s="167"/>
    </row>
    <row r="740" spans="2:4" ht="15">
      <c r="B740" s="166"/>
      <c r="C740" s="173"/>
      <c r="D740" s="167"/>
    </row>
    <row r="741" spans="2:4" ht="15">
      <c r="B741" s="166"/>
      <c r="C741" s="173"/>
      <c r="D741" s="167"/>
    </row>
    <row r="742" spans="2:4" ht="15">
      <c r="B742" s="166"/>
      <c r="C742" s="173"/>
      <c r="D742" s="167"/>
    </row>
    <row r="743" spans="2:4" ht="15">
      <c r="B743" s="166"/>
      <c r="C743" s="173"/>
      <c r="D743" s="167"/>
    </row>
    <row r="744" spans="2:4" ht="15">
      <c r="B744" s="166"/>
      <c r="C744" s="173"/>
      <c r="D744" s="167"/>
    </row>
    <row r="745" spans="2:4" ht="15">
      <c r="B745" s="166"/>
      <c r="C745" s="173"/>
      <c r="D745" s="167"/>
    </row>
    <row r="746" spans="2:4" ht="15">
      <c r="B746" s="166"/>
      <c r="C746" s="173"/>
      <c r="D746" s="167"/>
    </row>
    <row r="747" spans="2:4" ht="15">
      <c r="B747" s="166"/>
      <c r="C747" s="173"/>
      <c r="D747" s="167"/>
    </row>
    <row r="748" spans="2:4" ht="15">
      <c r="B748" s="166"/>
      <c r="C748" s="173"/>
      <c r="D748" s="167"/>
    </row>
    <row r="749" spans="2:4" ht="15">
      <c r="B749" s="166"/>
      <c r="C749" s="173"/>
      <c r="D749" s="167"/>
    </row>
    <row r="750" spans="2:4" ht="15">
      <c r="B750" s="166"/>
      <c r="C750" s="173"/>
      <c r="D750" s="167"/>
    </row>
    <row r="751" spans="2:4" ht="15">
      <c r="B751" s="166"/>
      <c r="C751" s="173"/>
      <c r="D751" s="167"/>
    </row>
    <row r="752" spans="2:4" ht="15">
      <c r="B752" s="166"/>
      <c r="C752" s="173"/>
      <c r="D752" s="167"/>
    </row>
    <row r="753" spans="2:4" ht="15">
      <c r="B753" s="166"/>
      <c r="C753" s="173"/>
      <c r="D753" s="167"/>
    </row>
    <row r="754" spans="2:4" ht="15">
      <c r="B754" s="166"/>
      <c r="C754" s="173"/>
      <c r="D754" s="167"/>
    </row>
    <row r="755" spans="2:4" ht="15">
      <c r="B755" s="166"/>
      <c r="C755" s="173"/>
      <c r="D755" s="167"/>
    </row>
    <row r="756" spans="2:4" ht="15">
      <c r="B756" s="166"/>
      <c r="C756" s="173"/>
      <c r="D756" s="167"/>
    </row>
    <row r="757" spans="2:4" ht="15">
      <c r="B757" s="166"/>
      <c r="C757" s="173"/>
      <c r="D757" s="167"/>
    </row>
    <row r="758" spans="2:4" ht="15">
      <c r="B758" s="166"/>
      <c r="C758" s="173"/>
      <c r="D758" s="167"/>
    </row>
    <row r="759" spans="2:4" ht="15">
      <c r="B759" s="166"/>
      <c r="C759" s="173"/>
      <c r="D759" s="167"/>
    </row>
    <row r="760" spans="2:4" ht="15">
      <c r="B760" s="166"/>
      <c r="C760" s="173"/>
      <c r="D760" s="167"/>
    </row>
    <row r="761" spans="2:4" ht="15">
      <c r="B761" s="166"/>
      <c r="C761" s="173"/>
      <c r="D761" s="167"/>
    </row>
    <row r="762" spans="2:4" ht="15">
      <c r="B762" s="166"/>
      <c r="C762" s="173"/>
      <c r="D762" s="167"/>
    </row>
    <row r="763" spans="2:4" ht="15">
      <c r="B763" s="166"/>
      <c r="C763" s="173"/>
      <c r="D763" s="167"/>
    </row>
    <row r="764" spans="2:4" ht="15">
      <c r="B764" s="166"/>
      <c r="C764" s="173"/>
      <c r="D764" s="167"/>
    </row>
    <row r="765" spans="2:4" ht="15">
      <c r="B765" s="166"/>
      <c r="C765" s="173"/>
      <c r="D765" s="167"/>
    </row>
    <row r="766" spans="2:4" ht="15">
      <c r="B766" s="166"/>
      <c r="C766" s="173"/>
      <c r="D766" s="167"/>
    </row>
    <row r="767" spans="2:4" ht="15">
      <c r="B767" s="166"/>
      <c r="C767" s="173"/>
      <c r="D767" s="167"/>
    </row>
    <row r="768" spans="2:4" ht="15">
      <c r="B768" s="166"/>
      <c r="C768" s="173"/>
      <c r="D768" s="167"/>
    </row>
    <row r="769" spans="2:4" ht="15">
      <c r="B769" s="166"/>
      <c r="C769" s="173"/>
      <c r="D769" s="167"/>
    </row>
    <row r="770" spans="2:4" ht="15">
      <c r="B770" s="166"/>
      <c r="C770" s="173"/>
      <c r="D770" s="167"/>
    </row>
    <row r="771" spans="2:4" ht="15">
      <c r="B771" s="166"/>
      <c r="C771" s="173"/>
      <c r="D771" s="167"/>
    </row>
    <row r="772" spans="2:4" ht="15">
      <c r="B772" s="166"/>
      <c r="C772" s="173"/>
      <c r="D772" s="167"/>
    </row>
    <row r="773" spans="2:4" ht="15">
      <c r="B773" s="166"/>
      <c r="C773" s="173"/>
      <c r="D773" s="167"/>
    </row>
    <row r="774" spans="2:4" ht="15">
      <c r="B774" s="166"/>
      <c r="C774" s="173"/>
      <c r="D774" s="167"/>
    </row>
    <row r="775" spans="2:4" ht="15">
      <c r="B775" s="166"/>
      <c r="C775" s="173"/>
      <c r="D775" s="167"/>
    </row>
    <row r="776" spans="2:4" ht="15">
      <c r="B776" s="166"/>
      <c r="C776" s="173"/>
      <c r="D776" s="167"/>
    </row>
    <row r="777" spans="2:4" ht="15">
      <c r="B777" s="166"/>
      <c r="C777" s="173"/>
      <c r="D777" s="167"/>
    </row>
    <row r="778" spans="2:4" ht="15">
      <c r="B778" s="166"/>
      <c r="C778" s="173"/>
      <c r="D778" s="167"/>
    </row>
    <row r="779" spans="2:4" ht="15">
      <c r="B779" s="166"/>
      <c r="C779" s="173"/>
      <c r="D779" s="167"/>
    </row>
    <row r="780" spans="2:4" ht="15">
      <c r="B780" s="166"/>
      <c r="C780" s="173"/>
      <c r="D780" s="167"/>
    </row>
    <row r="781" spans="2:4" ht="15">
      <c r="B781" s="166"/>
      <c r="C781" s="173"/>
      <c r="D781" s="167"/>
    </row>
    <row r="782" spans="2:4" ht="15">
      <c r="B782" s="166"/>
      <c r="C782" s="173"/>
      <c r="D782" s="167"/>
    </row>
    <row r="783" spans="2:4" ht="15">
      <c r="B783" s="166"/>
      <c r="C783" s="173"/>
      <c r="D783" s="167"/>
    </row>
    <row r="784" spans="2:4" ht="15">
      <c r="B784" s="166"/>
      <c r="C784" s="173"/>
      <c r="D784" s="167"/>
    </row>
    <row r="785" spans="2:4" ht="15">
      <c r="B785" s="166"/>
      <c r="C785" s="173"/>
      <c r="D785" s="167"/>
    </row>
    <row r="786" spans="2:4" ht="15">
      <c r="B786" s="166"/>
      <c r="C786" s="173"/>
      <c r="D786" s="167"/>
    </row>
    <row r="787" spans="2:4" ht="15">
      <c r="B787" s="166"/>
      <c r="C787" s="173"/>
      <c r="D787" s="167"/>
    </row>
    <row r="788" spans="2:4" ht="15">
      <c r="B788" s="166"/>
      <c r="C788" s="173"/>
      <c r="D788" s="167"/>
    </row>
    <row r="789" spans="2:4" ht="15">
      <c r="B789" s="166"/>
      <c r="C789" s="173"/>
      <c r="D789" s="167"/>
    </row>
    <row r="790" spans="2:4" ht="15">
      <c r="B790" s="166"/>
      <c r="C790" s="173"/>
      <c r="D790" s="167"/>
    </row>
    <row r="791" spans="2:4" ht="15">
      <c r="B791" s="166"/>
      <c r="C791" s="173"/>
      <c r="D791" s="167"/>
    </row>
    <row r="792" spans="2:4" ht="15">
      <c r="B792" s="166"/>
      <c r="C792" s="173"/>
      <c r="D792" s="167"/>
    </row>
    <row r="793" spans="2:4" ht="15">
      <c r="B793" s="166"/>
      <c r="C793" s="173"/>
      <c r="D793" s="167"/>
    </row>
    <row r="794" spans="2:4" ht="15">
      <c r="B794" s="166"/>
      <c r="C794" s="173"/>
      <c r="D794" s="167"/>
    </row>
    <row r="795" spans="2:4" ht="15">
      <c r="B795" s="166"/>
      <c r="C795" s="173"/>
      <c r="D795" s="167"/>
    </row>
    <row r="796" spans="2:4" ht="15">
      <c r="B796" s="166"/>
      <c r="C796" s="173"/>
      <c r="D796" s="167"/>
    </row>
    <row r="797" spans="2:4" ht="15">
      <c r="B797" s="166"/>
      <c r="C797" s="173"/>
      <c r="D797" s="167"/>
    </row>
    <row r="798" spans="2:4" ht="15">
      <c r="B798" s="166"/>
      <c r="C798" s="173"/>
      <c r="D798" s="167"/>
    </row>
    <row r="799" spans="2:4" ht="15">
      <c r="B799" s="166"/>
      <c r="C799" s="173"/>
      <c r="D799" s="167"/>
    </row>
    <row r="800" spans="2:4" ht="15">
      <c r="B800" s="166"/>
      <c r="C800" s="173"/>
      <c r="D800" s="167"/>
    </row>
    <row r="801" spans="2:4" ht="15">
      <c r="B801" s="166"/>
      <c r="C801" s="173"/>
      <c r="D801" s="167"/>
    </row>
    <row r="802" spans="2:4" ht="15">
      <c r="B802" s="166"/>
      <c r="C802" s="173"/>
      <c r="D802" s="167"/>
    </row>
    <row r="803" spans="2:4" ht="15">
      <c r="B803" s="166"/>
      <c r="C803" s="173"/>
      <c r="D803" s="167"/>
    </row>
    <row r="804" spans="2:4" ht="15">
      <c r="B804" s="166"/>
      <c r="C804" s="173"/>
      <c r="D804" s="167"/>
    </row>
    <row r="805" spans="2:4" ht="15">
      <c r="B805" s="166"/>
      <c r="C805" s="173"/>
      <c r="D805" s="167"/>
    </row>
    <row r="806" spans="2:4" ht="15">
      <c r="B806" s="166"/>
      <c r="C806" s="173"/>
      <c r="D806" s="167"/>
    </row>
    <row r="807" spans="2:4" ht="15">
      <c r="B807" s="166"/>
      <c r="C807" s="173"/>
      <c r="D807" s="167"/>
    </row>
    <row r="808" spans="2:4" ht="15">
      <c r="B808" s="166"/>
      <c r="C808" s="173"/>
      <c r="D808" s="167"/>
    </row>
    <row r="809" spans="2:4" ht="15">
      <c r="B809" s="166"/>
      <c r="C809" s="173"/>
      <c r="D809" s="167"/>
    </row>
    <row r="810" spans="2:4" ht="15">
      <c r="B810" s="166"/>
      <c r="C810" s="173"/>
      <c r="D810" s="167"/>
    </row>
    <row r="811" spans="2:4" ht="15">
      <c r="B811" s="166"/>
      <c r="C811" s="173"/>
      <c r="D811" s="167"/>
    </row>
    <row r="812" spans="2:4" ht="15">
      <c r="B812" s="166"/>
      <c r="C812" s="173"/>
      <c r="D812" s="167"/>
    </row>
    <row r="813" spans="2:4" ht="15">
      <c r="B813" s="166"/>
      <c r="C813" s="173"/>
      <c r="D813" s="167"/>
    </row>
    <row r="814" spans="2:4" ht="15">
      <c r="B814" s="166"/>
      <c r="C814" s="173"/>
      <c r="D814" s="167"/>
    </row>
    <row r="815" spans="2:4" ht="15">
      <c r="B815" s="166"/>
      <c r="C815" s="173"/>
      <c r="D815" s="167"/>
    </row>
    <row r="816" spans="2:4" ht="15">
      <c r="B816" s="166"/>
      <c r="C816" s="173"/>
      <c r="D816" s="167"/>
    </row>
    <row r="817" spans="2:4" ht="15">
      <c r="B817" s="166"/>
      <c r="C817" s="173"/>
      <c r="D817" s="167"/>
    </row>
    <row r="818" spans="2:4" ht="15">
      <c r="B818" s="166"/>
      <c r="C818" s="173"/>
      <c r="D818" s="167"/>
    </row>
    <row r="819" spans="2:4" ht="15">
      <c r="B819" s="166"/>
      <c r="C819" s="173"/>
      <c r="D819" s="167"/>
    </row>
    <row r="820" spans="2:4" ht="15">
      <c r="B820" s="166"/>
      <c r="C820" s="173"/>
      <c r="D820" s="167"/>
    </row>
    <row r="821" spans="2:4" ht="15">
      <c r="B821" s="166"/>
      <c r="C821" s="173"/>
      <c r="D821" s="167"/>
    </row>
    <row r="822" spans="2:4" ht="15">
      <c r="B822" s="166"/>
      <c r="C822" s="173"/>
      <c r="D822" s="167"/>
    </row>
    <row r="823" spans="2:4" ht="15">
      <c r="B823" s="166"/>
      <c r="C823" s="173"/>
      <c r="D823" s="167"/>
    </row>
    <row r="824" spans="2:4" ht="15">
      <c r="B824" s="166"/>
      <c r="C824" s="173"/>
      <c r="D824" s="167"/>
    </row>
    <row r="825" spans="2:4" ht="15">
      <c r="B825" s="166"/>
      <c r="C825" s="173"/>
      <c r="D825" s="167"/>
    </row>
    <row r="826" spans="2:4" ht="15">
      <c r="B826" s="166"/>
      <c r="C826" s="173"/>
      <c r="D826" s="167"/>
    </row>
    <row r="827" spans="2:4" ht="15">
      <c r="B827" s="166"/>
      <c r="C827" s="173"/>
      <c r="D827" s="167"/>
    </row>
    <row r="828" spans="2:4" ht="15">
      <c r="B828" s="166"/>
      <c r="C828" s="173"/>
      <c r="D828" s="167"/>
    </row>
    <row r="829" spans="2:4" ht="15">
      <c r="B829" s="166"/>
      <c r="C829" s="173"/>
      <c r="D829" s="167"/>
    </row>
    <row r="830" spans="2:4" ht="15">
      <c r="B830" s="166"/>
      <c r="C830" s="173"/>
      <c r="D830" s="167"/>
    </row>
    <row r="831" spans="2:4" ht="15">
      <c r="B831" s="166"/>
      <c r="C831" s="173"/>
      <c r="D831" s="167"/>
    </row>
    <row r="832" spans="2:4" ht="15">
      <c r="B832" s="166"/>
      <c r="C832" s="173"/>
      <c r="D832" s="167"/>
    </row>
    <row r="833" spans="2:4" ht="15">
      <c r="B833" s="166"/>
      <c r="C833" s="173"/>
      <c r="D833" s="167"/>
    </row>
    <row r="834" spans="2:4" ht="15">
      <c r="B834" s="166"/>
      <c r="C834" s="173"/>
      <c r="D834" s="167"/>
    </row>
    <row r="835" spans="2:4" ht="15">
      <c r="B835" s="166"/>
      <c r="C835" s="173"/>
      <c r="D835" s="167"/>
    </row>
    <row r="836" spans="2:4" ht="15">
      <c r="B836" s="166"/>
      <c r="C836" s="173"/>
      <c r="D836" s="167"/>
    </row>
    <row r="837" spans="2:4" ht="15">
      <c r="B837" s="166"/>
      <c r="C837" s="173"/>
      <c r="D837" s="167"/>
    </row>
    <row r="838" spans="2:4" ht="15">
      <c r="B838" s="166"/>
      <c r="C838" s="173"/>
      <c r="D838" s="167"/>
    </row>
    <row r="839" spans="2:4" ht="15">
      <c r="B839" s="166"/>
      <c r="C839" s="173"/>
      <c r="D839" s="167"/>
    </row>
    <row r="840" spans="2:4" ht="15">
      <c r="B840" s="166"/>
      <c r="C840" s="173"/>
      <c r="D840" s="167"/>
    </row>
    <row r="841" spans="2:4" ht="15">
      <c r="B841" s="166"/>
      <c r="C841" s="173"/>
      <c r="D841" s="167"/>
    </row>
    <row r="842" spans="2:4" ht="15">
      <c r="B842" s="166"/>
      <c r="C842" s="173"/>
      <c r="D842" s="167"/>
    </row>
    <row r="843" spans="2:4" ht="15">
      <c r="B843" s="166"/>
      <c r="C843" s="173"/>
      <c r="D843" s="167"/>
    </row>
    <row r="844" spans="2:4" ht="15">
      <c r="B844" s="166"/>
      <c r="C844" s="173"/>
      <c r="D844" s="167"/>
    </row>
    <row r="845" spans="2:4" ht="15">
      <c r="B845" s="166"/>
      <c r="C845" s="173"/>
      <c r="D845" s="167"/>
    </row>
    <row r="846" spans="2:4" ht="15">
      <c r="B846" s="166"/>
      <c r="C846" s="173"/>
      <c r="D846" s="167"/>
    </row>
    <row r="847" spans="2:4" ht="15">
      <c r="B847" s="166"/>
      <c r="C847" s="173"/>
      <c r="D847" s="167"/>
    </row>
    <row r="848" spans="2:4" ht="15">
      <c r="B848" s="166"/>
      <c r="C848" s="173"/>
      <c r="D848" s="167"/>
    </row>
    <row r="849" spans="2:4" ht="15">
      <c r="B849" s="166"/>
      <c r="C849" s="173"/>
      <c r="D849" s="167"/>
    </row>
    <row r="850" spans="2:4" ht="15">
      <c r="B850" s="166"/>
      <c r="C850" s="173"/>
      <c r="D850" s="167"/>
    </row>
    <row r="851" spans="2:4" ht="15">
      <c r="B851" s="166"/>
      <c r="C851" s="173"/>
      <c r="D851" s="167"/>
    </row>
    <row r="852" spans="2:4" ht="15">
      <c r="B852" s="166"/>
      <c r="C852" s="173"/>
      <c r="D852" s="167"/>
    </row>
    <row r="853" spans="2:4" ht="15">
      <c r="B853" s="166"/>
      <c r="C853" s="173"/>
      <c r="D853" s="167"/>
    </row>
    <row r="854" spans="2:4" ht="15">
      <c r="B854" s="166"/>
      <c r="C854" s="173"/>
      <c r="D854" s="167"/>
    </row>
    <row r="855" spans="2:4" ht="15">
      <c r="B855" s="166"/>
      <c r="C855" s="173"/>
      <c r="D855" s="167"/>
    </row>
    <row r="856" spans="2:4" ht="15">
      <c r="B856" s="166"/>
      <c r="C856" s="173"/>
      <c r="D856" s="167"/>
    </row>
    <row r="857" spans="2:4" ht="15">
      <c r="B857" s="166"/>
      <c r="C857" s="173"/>
      <c r="D857" s="167"/>
    </row>
    <row r="858" spans="2:4" ht="15">
      <c r="B858" s="166"/>
      <c r="C858" s="173"/>
      <c r="D858" s="167"/>
    </row>
    <row r="859" spans="2:4" ht="15">
      <c r="B859" s="166"/>
      <c r="C859" s="173"/>
      <c r="D859" s="167"/>
    </row>
    <row r="860" spans="2:4" ht="15">
      <c r="B860" s="166"/>
      <c r="C860" s="173"/>
      <c r="D860" s="167"/>
    </row>
    <row r="861" spans="2:4" ht="15">
      <c r="B861" s="166"/>
      <c r="C861" s="173"/>
      <c r="D861" s="167"/>
    </row>
    <row r="862" spans="2:4" ht="15">
      <c r="B862" s="166"/>
      <c r="C862" s="173"/>
      <c r="D862" s="167"/>
    </row>
    <row r="863" spans="2:4" ht="15">
      <c r="B863" s="166"/>
      <c r="C863" s="173"/>
      <c r="D863" s="167"/>
    </row>
    <row r="864" spans="2:4" ht="15">
      <c r="B864" s="166"/>
      <c r="C864" s="173"/>
      <c r="D864" s="167"/>
    </row>
    <row r="865" spans="2:4" ht="15">
      <c r="B865" s="166"/>
      <c r="C865" s="173"/>
      <c r="D865" s="167"/>
    </row>
    <row r="866" spans="2:4" ht="15">
      <c r="B866" s="166"/>
      <c r="C866" s="173"/>
      <c r="D866" s="167"/>
    </row>
    <row r="867" spans="2:4" ht="15">
      <c r="B867" s="166"/>
      <c r="C867" s="173"/>
      <c r="D867" s="167"/>
    </row>
    <row r="868" spans="2:4" ht="15">
      <c r="B868" s="166"/>
      <c r="C868" s="173"/>
      <c r="D868" s="167"/>
    </row>
    <row r="869" spans="2:4" ht="15">
      <c r="B869" s="166"/>
      <c r="C869" s="173"/>
      <c r="D869" s="167"/>
    </row>
    <row r="870" spans="2:4" ht="15">
      <c r="B870" s="166"/>
      <c r="C870" s="173"/>
      <c r="D870" s="167"/>
    </row>
    <row r="871" spans="2:4" ht="15">
      <c r="B871" s="166"/>
      <c r="C871" s="173"/>
      <c r="D871" s="167"/>
    </row>
    <row r="872" spans="2:4" ht="15">
      <c r="B872" s="166"/>
      <c r="C872" s="173"/>
      <c r="D872" s="167"/>
    </row>
    <row r="873" spans="2:4" ht="15">
      <c r="B873" s="166"/>
      <c r="C873" s="173"/>
      <c r="D873" s="167"/>
    </row>
    <row r="874" spans="2:4" ht="15">
      <c r="B874" s="166"/>
      <c r="C874" s="173"/>
      <c r="D874" s="167"/>
    </row>
    <row r="875" spans="2:4" ht="15">
      <c r="B875" s="166"/>
      <c r="C875" s="173"/>
      <c r="D875" s="167"/>
    </row>
    <row r="876" spans="2:4" ht="15">
      <c r="B876" s="166"/>
      <c r="C876" s="173"/>
      <c r="D876" s="167"/>
    </row>
    <row r="877" spans="2:4" ht="15">
      <c r="B877" s="166"/>
      <c r="C877" s="173"/>
      <c r="D877" s="167"/>
    </row>
    <row r="878" spans="2:4" ht="15">
      <c r="B878" s="166"/>
      <c r="C878" s="173"/>
      <c r="D878" s="167"/>
    </row>
    <row r="879" spans="2:4" ht="15">
      <c r="B879" s="166"/>
      <c r="C879" s="173"/>
      <c r="D879" s="167"/>
    </row>
    <row r="880" spans="2:4" ht="15">
      <c r="B880" s="166"/>
      <c r="C880" s="173"/>
      <c r="D880" s="167"/>
    </row>
    <row r="881" spans="2:4" ht="15">
      <c r="B881" s="166"/>
      <c r="C881" s="173"/>
      <c r="D881" s="167"/>
    </row>
    <row r="882" spans="2:4" ht="15">
      <c r="B882" s="166"/>
      <c r="C882" s="173"/>
      <c r="D882" s="167"/>
    </row>
    <row r="883" spans="2:4" ht="15">
      <c r="B883" s="166"/>
      <c r="C883" s="173"/>
      <c r="D883" s="167"/>
    </row>
    <row r="884" spans="2:4" ht="15">
      <c r="B884" s="166"/>
      <c r="C884" s="173"/>
      <c r="D884" s="167"/>
    </row>
    <row r="885" spans="2:4" ht="15">
      <c r="B885" s="166"/>
      <c r="C885" s="173"/>
      <c r="D885" s="167"/>
    </row>
    <row r="886" spans="2:4" ht="15">
      <c r="B886" s="166"/>
      <c r="C886" s="173"/>
      <c r="D886" s="167"/>
    </row>
    <row r="887" spans="2:4" ht="15">
      <c r="B887" s="166"/>
      <c r="C887" s="173"/>
      <c r="D887" s="167"/>
    </row>
    <row r="888" spans="2:4" ht="15">
      <c r="B888" s="166"/>
      <c r="C888" s="173"/>
      <c r="D888" s="167"/>
    </row>
    <row r="889" spans="2:4" ht="15">
      <c r="B889" s="166"/>
      <c r="C889" s="173"/>
      <c r="D889" s="167"/>
    </row>
    <row r="890" spans="2:4" ht="15">
      <c r="B890" s="166"/>
      <c r="C890" s="173"/>
      <c r="D890" s="167"/>
    </row>
    <row r="891" spans="2:4" ht="15">
      <c r="B891" s="166"/>
      <c r="C891" s="173"/>
      <c r="D891" s="167"/>
    </row>
    <row r="892" spans="2:4" ht="15">
      <c r="B892" s="166"/>
      <c r="C892" s="173"/>
      <c r="D892" s="167"/>
    </row>
    <row r="893" spans="2:4" ht="15">
      <c r="B893" s="166"/>
      <c r="C893" s="173"/>
      <c r="D893" s="167"/>
    </row>
    <row r="894" spans="2:4" ht="15">
      <c r="B894" s="166"/>
      <c r="C894" s="173"/>
      <c r="D894" s="167"/>
    </row>
    <row r="895" spans="2:4" ht="15">
      <c r="B895" s="166"/>
      <c r="C895" s="173"/>
      <c r="D895" s="167"/>
    </row>
    <row r="896" spans="2:4" ht="15">
      <c r="B896" s="166"/>
      <c r="C896" s="173"/>
      <c r="D896" s="167"/>
    </row>
    <row r="897" spans="2:4" ht="15">
      <c r="B897" s="166"/>
      <c r="C897" s="173"/>
      <c r="D897" s="167"/>
    </row>
    <row r="898" spans="2:4" ht="15">
      <c r="B898" s="166"/>
      <c r="C898" s="173"/>
      <c r="D898" s="167"/>
    </row>
    <row r="899" spans="2:4" ht="15">
      <c r="B899" s="166"/>
      <c r="C899" s="173"/>
      <c r="D899" s="167"/>
    </row>
    <row r="900" spans="2:4" ht="15">
      <c r="B900" s="166"/>
      <c r="C900" s="173"/>
      <c r="D900" s="167"/>
    </row>
    <row r="901" spans="2:4" ht="15">
      <c r="B901" s="166"/>
      <c r="C901" s="173"/>
      <c r="D901" s="167"/>
    </row>
    <row r="902" spans="2:4" ht="15">
      <c r="B902" s="166"/>
      <c r="C902" s="173"/>
      <c r="D902" s="167"/>
    </row>
    <row r="903" spans="2:4" ht="15">
      <c r="B903" s="166"/>
      <c r="C903" s="173"/>
      <c r="D903" s="167"/>
    </row>
    <row r="904" spans="2:4" ht="15">
      <c r="B904" s="166"/>
      <c r="C904" s="173"/>
      <c r="D904" s="167"/>
    </row>
    <row r="905" spans="2:4" ht="15">
      <c r="B905" s="166"/>
      <c r="C905" s="173"/>
      <c r="D905" s="167"/>
    </row>
    <row r="906" spans="2:4" ht="15">
      <c r="B906" s="166"/>
      <c r="C906" s="173"/>
      <c r="D906" s="167"/>
    </row>
    <row r="907" spans="2:4" ht="15">
      <c r="B907" s="166"/>
      <c r="C907" s="173"/>
      <c r="D907" s="167"/>
    </row>
    <row r="908" spans="2:4" ht="15">
      <c r="B908" s="166"/>
      <c r="C908" s="173"/>
      <c r="D908" s="167"/>
    </row>
    <row r="909" spans="2:4" ht="15">
      <c r="B909" s="166"/>
      <c r="C909" s="173"/>
      <c r="D909" s="167"/>
    </row>
    <row r="910" spans="2:4" ht="15">
      <c r="B910" s="166"/>
      <c r="C910" s="173"/>
      <c r="D910" s="167"/>
    </row>
    <row r="911" spans="2:4" ht="15">
      <c r="B911" s="166"/>
      <c r="C911" s="173"/>
      <c r="D911" s="167"/>
    </row>
    <row r="912" spans="2:4" ht="15">
      <c r="B912" s="166"/>
      <c r="C912" s="173"/>
      <c r="D912" s="167"/>
    </row>
    <row r="913" spans="2:4" ht="15">
      <c r="B913" s="166"/>
      <c r="C913" s="173"/>
      <c r="D913" s="167"/>
    </row>
    <row r="914" spans="2:4" ht="15">
      <c r="B914" s="166"/>
      <c r="C914" s="173"/>
      <c r="D914" s="167"/>
    </row>
    <row r="915" spans="2:4" ht="15">
      <c r="B915" s="166"/>
      <c r="C915" s="173"/>
      <c r="D915" s="167"/>
    </row>
    <row r="916" spans="2:4" ht="15">
      <c r="B916" s="166"/>
      <c r="C916" s="173"/>
      <c r="D916" s="167"/>
    </row>
    <row r="917" spans="2:4" ht="15">
      <c r="B917" s="166"/>
      <c r="C917" s="173"/>
      <c r="D917" s="167"/>
    </row>
    <row r="918" spans="2:4" ht="15">
      <c r="B918" s="166"/>
      <c r="C918" s="173"/>
      <c r="D918" s="167"/>
    </row>
    <row r="919" spans="2:4" ht="15">
      <c r="B919" s="166"/>
      <c r="C919" s="173"/>
      <c r="D919" s="167"/>
    </row>
    <row r="920" spans="2:4" ht="15">
      <c r="B920" s="166"/>
      <c r="C920" s="173"/>
      <c r="D920" s="167"/>
    </row>
    <row r="921" spans="2:4" ht="15">
      <c r="B921" s="166"/>
      <c r="C921" s="173"/>
      <c r="D921" s="167"/>
    </row>
    <row r="922" spans="2:4" ht="15">
      <c r="B922" s="166"/>
      <c r="C922" s="173"/>
      <c r="D922" s="167"/>
    </row>
    <row r="923" spans="2:4" ht="15">
      <c r="B923" s="166"/>
      <c r="C923" s="173"/>
      <c r="D923" s="167"/>
    </row>
    <row r="924" spans="2:4" ht="15">
      <c r="B924" s="166"/>
      <c r="C924" s="173"/>
      <c r="D924" s="167"/>
    </row>
    <row r="925" spans="2:4" ht="15">
      <c r="B925" s="166"/>
      <c r="C925" s="173"/>
      <c r="D925" s="167"/>
    </row>
    <row r="926" spans="2:4" ht="15">
      <c r="B926" s="166"/>
      <c r="C926" s="173"/>
      <c r="D926" s="167"/>
    </row>
    <row r="927" spans="2:4" ht="15">
      <c r="B927" s="166"/>
      <c r="C927" s="173"/>
      <c r="D927" s="167"/>
    </row>
    <row r="928" spans="2:4" ht="15">
      <c r="B928" s="166"/>
      <c r="C928" s="173"/>
      <c r="D928" s="167"/>
    </row>
    <row r="929" spans="2:4" ht="15">
      <c r="B929" s="166"/>
      <c r="C929" s="173"/>
      <c r="D929" s="167"/>
    </row>
    <row r="930" spans="2:4" ht="15">
      <c r="B930" s="166"/>
      <c r="C930" s="173"/>
      <c r="D930" s="167"/>
    </row>
    <row r="931" spans="2:4" ht="15">
      <c r="B931" s="166"/>
      <c r="C931" s="173"/>
      <c r="D931" s="167"/>
    </row>
    <row r="932" spans="2:4" ht="15">
      <c r="B932" s="166"/>
      <c r="C932" s="173"/>
      <c r="D932" s="167"/>
    </row>
    <row r="933" spans="2:4" ht="15">
      <c r="B933" s="166"/>
      <c r="C933" s="173"/>
      <c r="D933" s="167"/>
    </row>
    <row r="934" spans="2:4" ht="15">
      <c r="B934" s="166"/>
      <c r="C934" s="173"/>
      <c r="D934" s="167"/>
    </row>
    <row r="935" spans="2:4" ht="15">
      <c r="B935" s="166"/>
      <c r="C935" s="173"/>
      <c r="D935" s="167"/>
    </row>
    <row r="936" spans="2:4" ht="15">
      <c r="B936" s="166"/>
      <c r="C936" s="173"/>
      <c r="D936" s="167"/>
    </row>
    <row r="937" spans="2:4" ht="15">
      <c r="B937" s="166"/>
      <c r="C937" s="173"/>
      <c r="D937" s="167"/>
    </row>
    <row r="938" spans="2:4" ht="15">
      <c r="B938" s="166"/>
      <c r="C938" s="173"/>
      <c r="D938" s="167"/>
    </row>
    <row r="939" spans="2:4" ht="15">
      <c r="B939" s="166"/>
      <c r="C939" s="173"/>
      <c r="D939" s="167"/>
    </row>
    <row r="940" spans="2:4" ht="15">
      <c r="B940" s="166"/>
      <c r="C940" s="173"/>
      <c r="D940" s="167"/>
    </row>
    <row r="941" spans="2:4" ht="15">
      <c r="B941" s="166"/>
      <c r="C941" s="173"/>
      <c r="D941" s="167"/>
    </row>
    <row r="942" spans="2:4" ht="15">
      <c r="B942" s="166"/>
      <c r="C942" s="173"/>
      <c r="D942" s="167"/>
    </row>
    <row r="943" spans="2:4" ht="15">
      <c r="B943" s="166"/>
      <c r="C943" s="173"/>
      <c r="D943" s="167"/>
    </row>
    <row r="944" spans="2:4" ht="15">
      <c r="B944" s="166"/>
      <c r="C944" s="173"/>
      <c r="D944" s="167"/>
    </row>
    <row r="945" spans="2:4" ht="15">
      <c r="B945" s="166"/>
      <c r="C945" s="173"/>
      <c r="D945" s="167"/>
    </row>
    <row r="946" spans="2:4" ht="15">
      <c r="B946" s="166"/>
      <c r="C946" s="173"/>
      <c r="D946" s="167"/>
    </row>
    <row r="947" spans="2:4" ht="15">
      <c r="B947" s="166"/>
      <c r="C947" s="173"/>
      <c r="D947" s="167"/>
    </row>
    <row r="948" spans="2:4" ht="15">
      <c r="B948" s="166"/>
      <c r="C948" s="173"/>
      <c r="D948" s="167"/>
    </row>
    <row r="949" spans="2:4" ht="15">
      <c r="B949" s="166"/>
      <c r="C949" s="173"/>
      <c r="D949" s="167"/>
    </row>
    <row r="950" spans="2:4" ht="15">
      <c r="B950" s="166"/>
      <c r="C950" s="173"/>
      <c r="D950" s="167"/>
    </row>
    <row r="951" spans="2:4" ht="15">
      <c r="B951" s="166"/>
      <c r="C951" s="173"/>
      <c r="D951" s="167"/>
    </row>
    <row r="952" spans="2:4" ht="15">
      <c r="B952" s="166"/>
      <c r="C952" s="173"/>
      <c r="D952" s="167"/>
    </row>
    <row r="953" spans="2:4" ht="15">
      <c r="B953" s="166"/>
      <c r="C953" s="173"/>
      <c r="D953" s="167"/>
    </row>
    <row r="954" spans="2:4" ht="15">
      <c r="B954" s="166"/>
      <c r="C954" s="173"/>
      <c r="D954" s="167"/>
    </row>
    <row r="955" spans="2:4" ht="15">
      <c r="B955" s="166"/>
      <c r="C955" s="173"/>
      <c r="D955" s="167"/>
    </row>
    <row r="956" spans="2:4" ht="15">
      <c r="B956" s="166"/>
      <c r="C956" s="173"/>
      <c r="D956" s="167"/>
    </row>
    <row r="957" spans="2:4" ht="15">
      <c r="B957" s="166"/>
      <c r="C957" s="173"/>
      <c r="D957" s="167"/>
    </row>
    <row r="958" spans="2:4" ht="15">
      <c r="B958" s="166"/>
      <c r="C958" s="173"/>
      <c r="D958" s="167"/>
    </row>
    <row r="959" spans="2:4" ht="15">
      <c r="B959" s="166"/>
      <c r="C959" s="173"/>
      <c r="D959" s="167"/>
    </row>
    <row r="960" spans="2:4" ht="15">
      <c r="B960" s="166"/>
      <c r="C960" s="173"/>
      <c r="D960" s="167"/>
    </row>
    <row r="961" spans="2:4" ht="15">
      <c r="B961" s="166"/>
      <c r="C961" s="173"/>
      <c r="D961" s="167"/>
    </row>
    <row r="962" spans="2:4" ht="15">
      <c r="B962" s="166"/>
      <c r="C962" s="173"/>
      <c r="D962" s="167"/>
    </row>
    <row r="963" spans="2:4" ht="15">
      <c r="B963" s="166"/>
      <c r="C963" s="173"/>
      <c r="D963" s="167"/>
    </row>
    <row r="964" spans="2:4" ht="15">
      <c r="B964" s="166"/>
      <c r="C964" s="173"/>
      <c r="D964" s="167"/>
    </row>
    <row r="965" spans="2:4" ht="15">
      <c r="B965" s="166"/>
      <c r="C965" s="173"/>
      <c r="D965" s="167"/>
    </row>
    <row r="966" spans="2:4" ht="15">
      <c r="B966" s="166"/>
      <c r="C966" s="173"/>
      <c r="D966" s="167"/>
    </row>
    <row r="967" spans="2:4" ht="15">
      <c r="B967" s="166"/>
      <c r="C967" s="173"/>
      <c r="D967" s="167"/>
    </row>
    <row r="968" spans="2:4" ht="15">
      <c r="B968" s="166"/>
      <c r="C968" s="173"/>
      <c r="D968" s="167"/>
    </row>
    <row r="969" spans="2:4" ht="15">
      <c r="B969" s="166"/>
      <c r="C969" s="173"/>
      <c r="D969" s="167"/>
    </row>
    <row r="970" spans="2:4" ht="15">
      <c r="B970" s="166"/>
      <c r="C970" s="173"/>
      <c r="D970" s="167"/>
    </row>
    <row r="971" spans="2:4" ht="15">
      <c r="B971" s="166"/>
      <c r="C971" s="173"/>
      <c r="D971" s="167"/>
    </row>
    <row r="972" spans="2:4" ht="15">
      <c r="B972" s="166"/>
      <c r="C972" s="173"/>
      <c r="D972" s="167"/>
    </row>
    <row r="973" spans="2:4" ht="15">
      <c r="B973" s="166"/>
      <c r="C973" s="173"/>
      <c r="D973" s="167"/>
    </row>
    <row r="974" spans="2:4" ht="15">
      <c r="B974" s="166"/>
      <c r="C974" s="173"/>
      <c r="D974" s="167"/>
    </row>
    <row r="975" spans="2:4" ht="15">
      <c r="B975" s="166"/>
      <c r="C975" s="173"/>
      <c r="D975" s="167"/>
    </row>
    <row r="976" spans="2:4" ht="15">
      <c r="B976" s="166"/>
      <c r="C976" s="173"/>
      <c r="D976" s="167"/>
    </row>
    <row r="977" spans="2:4" ht="15">
      <c r="B977" s="166"/>
      <c r="C977" s="173"/>
      <c r="D977" s="167"/>
    </row>
    <row r="978" spans="2:4" ht="15">
      <c r="B978" s="166"/>
      <c r="C978" s="173"/>
      <c r="D978" s="167"/>
    </row>
    <row r="979" spans="2:4" ht="15">
      <c r="B979" s="166"/>
      <c r="C979" s="173"/>
      <c r="D979" s="167"/>
    </row>
    <row r="980" spans="2:4" ht="15">
      <c r="B980" s="166"/>
      <c r="C980" s="173"/>
      <c r="D980" s="167"/>
    </row>
    <row r="981" spans="2:4" ht="15">
      <c r="B981" s="166"/>
      <c r="C981" s="173"/>
      <c r="D981" s="167"/>
    </row>
    <row r="982" spans="2:4" ht="15">
      <c r="B982" s="166"/>
      <c r="C982" s="173"/>
      <c r="D982" s="167"/>
    </row>
    <row r="983" spans="2:4" ht="15">
      <c r="B983" s="166"/>
      <c r="C983" s="173"/>
      <c r="D983" s="167"/>
    </row>
    <row r="984" spans="2:4" ht="15">
      <c r="B984" s="166"/>
      <c r="C984" s="173"/>
      <c r="D984" s="167"/>
    </row>
    <row r="985" spans="2:4" ht="15">
      <c r="B985" s="166"/>
      <c r="C985" s="173"/>
      <c r="D985" s="167"/>
    </row>
    <row r="986" spans="2:4" ht="15">
      <c r="B986" s="166"/>
      <c r="C986" s="173"/>
      <c r="D986" s="167"/>
    </row>
    <row r="987" spans="2:4" ht="15">
      <c r="B987" s="166"/>
      <c r="C987" s="173"/>
      <c r="D987" s="167"/>
    </row>
    <row r="988" spans="2:4" ht="15">
      <c r="B988" s="166"/>
      <c r="C988" s="173"/>
      <c r="D988" s="167"/>
    </row>
    <row r="989" spans="2:4" ht="15">
      <c r="B989" s="166"/>
      <c r="C989" s="173"/>
      <c r="D989" s="167"/>
    </row>
    <row r="990" spans="2:4" ht="15">
      <c r="B990" s="166"/>
      <c r="C990" s="173"/>
      <c r="D990" s="167"/>
    </row>
    <row r="991" spans="2:4" ht="15">
      <c r="B991" s="166"/>
      <c r="C991" s="173"/>
      <c r="D991" s="167"/>
    </row>
    <row r="992" spans="2:4" ht="15">
      <c r="B992" s="166"/>
      <c r="C992" s="173"/>
      <c r="D992" s="167"/>
    </row>
    <row r="993" spans="2:4" ht="15">
      <c r="B993" s="166"/>
      <c r="C993" s="173"/>
      <c r="D993" s="167"/>
    </row>
    <row r="994" spans="2:4" ht="15">
      <c r="B994" s="166"/>
      <c r="C994" s="173"/>
      <c r="D994" s="167"/>
    </row>
    <row r="995" spans="2:4" ht="15">
      <c r="B995" s="166"/>
      <c r="C995" s="173"/>
      <c r="D995" s="167"/>
    </row>
    <row r="996" spans="2:4" ht="15">
      <c r="B996" s="166"/>
      <c r="C996" s="173"/>
      <c r="D996" s="167"/>
    </row>
    <row r="997" spans="2:4" ht="15">
      <c r="B997" s="166"/>
      <c r="C997" s="173"/>
      <c r="D997" s="167"/>
    </row>
    <row r="998" spans="2:4" ht="15">
      <c r="B998" s="166"/>
      <c r="C998" s="173"/>
      <c r="D998" s="167"/>
    </row>
    <row r="999" spans="2:4" ht="15">
      <c r="B999" s="166"/>
      <c r="C999" s="173"/>
      <c r="D999" s="167"/>
    </row>
    <row r="1000" spans="2:4" ht="15">
      <c r="B1000" s="166"/>
      <c r="C1000" s="173"/>
      <c r="D1000" s="167"/>
    </row>
    <row r="1001" spans="2:4" ht="15">
      <c r="B1001" s="166"/>
      <c r="C1001" s="173"/>
      <c r="D1001" s="167"/>
    </row>
    <row r="1002" spans="2:4" ht="15">
      <c r="B1002" s="166"/>
      <c r="C1002" s="173"/>
      <c r="D1002" s="167"/>
    </row>
    <row r="1003" spans="2:4" ht="15">
      <c r="B1003" s="166"/>
      <c r="C1003" s="173"/>
      <c r="D1003" s="167"/>
    </row>
    <row r="1004" spans="2:4" ht="15">
      <c r="B1004" s="166"/>
      <c r="C1004" s="173"/>
      <c r="D1004" s="167"/>
    </row>
    <row r="1005" spans="2:4" ht="15">
      <c r="B1005" s="166"/>
      <c r="C1005" s="173"/>
      <c r="D1005" s="167"/>
    </row>
    <row r="1006" spans="2:4" ht="15">
      <c r="B1006" s="166"/>
      <c r="C1006" s="173"/>
      <c r="D1006" s="167"/>
    </row>
    <row r="1007" spans="2:4" ht="15">
      <c r="B1007" s="166"/>
      <c r="C1007" s="173"/>
      <c r="D1007" s="167"/>
    </row>
    <row r="1008" spans="2:4" ht="15">
      <c r="B1008" s="166"/>
      <c r="C1008" s="173"/>
      <c r="D1008" s="167"/>
    </row>
    <row r="1009" spans="2:4" ht="15">
      <c r="B1009" s="166"/>
      <c r="C1009" s="173"/>
      <c r="D1009" s="167"/>
    </row>
    <row r="1010" spans="2:4" ht="15">
      <c r="B1010" s="166"/>
      <c r="C1010" s="173"/>
      <c r="D1010" s="167"/>
    </row>
    <row r="1011" spans="2:4" ht="15">
      <c r="B1011" s="166"/>
      <c r="C1011" s="173"/>
      <c r="D1011" s="167"/>
    </row>
    <row r="1012" spans="2:4" ht="15">
      <c r="B1012" s="166"/>
      <c r="C1012" s="173"/>
      <c r="D1012" s="167"/>
    </row>
    <row r="1013" spans="2:4" ht="15">
      <c r="B1013" s="166"/>
      <c r="C1013" s="173"/>
      <c r="D1013" s="167"/>
    </row>
    <row r="1014" spans="2:4" ht="15">
      <c r="B1014" s="166"/>
      <c r="C1014" s="173"/>
      <c r="D1014" s="167"/>
    </row>
    <row r="1015" spans="2:4" ht="15">
      <c r="B1015" s="166"/>
      <c r="C1015" s="173"/>
      <c r="D1015" s="167"/>
    </row>
    <row r="1016" spans="2:4" ht="15">
      <c r="B1016" s="166"/>
      <c r="C1016" s="173"/>
      <c r="D1016" s="167"/>
    </row>
    <row r="1017" spans="2:4" ht="15">
      <c r="B1017" s="166"/>
      <c r="C1017" s="173"/>
      <c r="D1017" s="167"/>
    </row>
    <row r="1018" spans="2:4" ht="15">
      <c r="B1018" s="166"/>
      <c r="C1018" s="173"/>
      <c r="D1018" s="167"/>
    </row>
    <row r="1019" spans="2:4" ht="15">
      <c r="B1019" s="166"/>
      <c r="C1019" s="173"/>
      <c r="D1019" s="167"/>
    </row>
    <row r="1020" spans="2:4" ht="15">
      <c r="B1020" s="166"/>
      <c r="C1020" s="173"/>
      <c r="D1020" s="167"/>
    </row>
    <row r="1021" spans="2:4" ht="15">
      <c r="B1021" s="166"/>
      <c r="C1021" s="173"/>
      <c r="D1021" s="167"/>
    </row>
    <row r="1022" spans="2:4" ht="15">
      <c r="B1022" s="166"/>
      <c r="C1022" s="173"/>
      <c r="D1022" s="167"/>
    </row>
    <row r="1023" spans="2:4" ht="15">
      <c r="B1023" s="166"/>
      <c r="C1023" s="173"/>
      <c r="D1023" s="167"/>
    </row>
    <row r="1024" spans="2:4" ht="15">
      <c r="B1024" s="166"/>
      <c r="C1024" s="173"/>
      <c r="D1024" s="167"/>
    </row>
    <row r="1025" spans="2:4" ht="15">
      <c r="B1025" s="166"/>
      <c r="C1025" s="173"/>
      <c r="D1025" s="167"/>
    </row>
    <row r="1026" spans="2:4" ht="15">
      <c r="B1026" s="166"/>
      <c r="C1026" s="173"/>
      <c r="D1026" s="167"/>
    </row>
    <row r="1027" spans="2:4" ht="15">
      <c r="B1027" s="166"/>
      <c r="C1027" s="173"/>
      <c r="D1027" s="167"/>
    </row>
    <row r="1028" spans="2:4" ht="15">
      <c r="B1028" s="166"/>
      <c r="C1028" s="173"/>
      <c r="D1028" s="167"/>
    </row>
    <row r="1029" spans="2:4" ht="15">
      <c r="B1029" s="166"/>
      <c r="C1029" s="173"/>
      <c r="D1029" s="167"/>
    </row>
    <row r="1030" spans="2:4" ht="15">
      <c r="B1030" s="166"/>
      <c r="C1030" s="173"/>
      <c r="D1030" s="167"/>
    </row>
    <row r="1031" spans="2:4" ht="15">
      <c r="B1031" s="166"/>
      <c r="C1031" s="173"/>
      <c r="D1031" s="167"/>
    </row>
    <row r="1032" spans="2:4" ht="15">
      <c r="B1032" s="166"/>
      <c r="C1032" s="173"/>
      <c r="D1032" s="167"/>
    </row>
    <row r="1033" spans="2:4" ht="15">
      <c r="B1033" s="166"/>
      <c r="C1033" s="173"/>
      <c r="D1033" s="167"/>
    </row>
    <row r="1034" spans="2:4" ht="15">
      <c r="B1034" s="166"/>
      <c r="C1034" s="173"/>
      <c r="D1034" s="167"/>
    </row>
    <row r="1035" spans="2:4" ht="15">
      <c r="B1035" s="166"/>
      <c r="C1035" s="173"/>
      <c r="D1035" s="167"/>
    </row>
    <row r="1036" spans="2:4" ht="15">
      <c r="B1036" s="166"/>
      <c r="C1036" s="173"/>
      <c r="D1036" s="167"/>
    </row>
    <row r="1037" spans="2:4" ht="15">
      <c r="B1037" s="166"/>
      <c r="C1037" s="173"/>
      <c r="D1037" s="167"/>
    </row>
    <row r="1038" spans="2:4" ht="15">
      <c r="B1038" s="166"/>
      <c r="C1038" s="173"/>
      <c r="D1038" s="167"/>
    </row>
    <row r="1039" spans="2:4" ht="15">
      <c r="B1039" s="166"/>
      <c r="C1039" s="173"/>
      <c r="D1039" s="167"/>
    </row>
    <row r="1040" spans="2:4" ht="15">
      <c r="B1040" s="166"/>
      <c r="C1040" s="173"/>
      <c r="D1040" s="167"/>
    </row>
    <row r="1041" spans="2:4" ht="15">
      <c r="B1041" s="166"/>
      <c r="C1041" s="173"/>
      <c r="D1041" s="167"/>
    </row>
    <row r="1042" spans="2:4" ht="15">
      <c r="B1042" s="166"/>
      <c r="C1042" s="173"/>
      <c r="D1042" s="167"/>
    </row>
    <row r="1043" spans="2:4" ht="15">
      <c r="B1043" s="166"/>
      <c r="C1043" s="173"/>
      <c r="D1043" s="167"/>
    </row>
    <row r="1044" spans="2:4" ht="15">
      <c r="B1044" s="166"/>
      <c r="C1044" s="173"/>
      <c r="D1044" s="167"/>
    </row>
    <row r="1045" spans="2:4" ht="15">
      <c r="B1045" s="166"/>
      <c r="C1045" s="173"/>
      <c r="D1045" s="167"/>
    </row>
    <row r="1046" spans="2:4" ht="15">
      <c r="B1046" s="166"/>
      <c r="C1046" s="173"/>
      <c r="D1046" s="167"/>
    </row>
    <row r="1047" spans="2:4" ht="15">
      <c r="B1047" s="166"/>
      <c r="C1047" s="173"/>
      <c r="D1047" s="167"/>
    </row>
    <row r="1048" spans="2:4" ht="15">
      <c r="B1048" s="166"/>
      <c r="C1048" s="173"/>
      <c r="D1048" s="167"/>
    </row>
    <row r="1049" spans="2:4" ht="15">
      <c r="B1049" s="166"/>
      <c r="C1049" s="173"/>
      <c r="D1049" s="167"/>
    </row>
    <row r="1050" spans="2:4" ht="15">
      <c r="B1050" s="166"/>
      <c r="C1050" s="173"/>
      <c r="D1050" s="167"/>
    </row>
    <row r="1051" spans="2:4" ht="15">
      <c r="B1051" s="166"/>
      <c r="C1051" s="173"/>
      <c r="D1051" s="167"/>
    </row>
    <row r="1052" spans="2:4" ht="15">
      <c r="B1052" s="166"/>
      <c r="C1052" s="173"/>
      <c r="D1052" s="167"/>
    </row>
    <row r="1053" spans="2:4" ht="15">
      <c r="B1053" s="166"/>
      <c r="C1053" s="173"/>
      <c r="D1053" s="167"/>
    </row>
    <row r="1054" spans="2:4" ht="15">
      <c r="B1054" s="166"/>
      <c r="C1054" s="173"/>
      <c r="D1054" s="167"/>
    </row>
    <row r="1055" spans="2:4" ht="15">
      <c r="B1055" s="166"/>
      <c r="C1055" s="173"/>
      <c r="D1055" s="167"/>
    </row>
    <row r="1056" spans="2:4" ht="15">
      <c r="B1056" s="166"/>
      <c r="C1056" s="173"/>
      <c r="D1056" s="167"/>
    </row>
    <row r="1057" spans="2:4" ht="15">
      <c r="B1057" s="166"/>
      <c r="C1057" s="173"/>
      <c r="D1057" s="167"/>
    </row>
    <row r="1058" spans="2:4" ht="15">
      <c r="B1058" s="166"/>
      <c r="C1058" s="173"/>
      <c r="D1058" s="167"/>
    </row>
    <row r="1059" spans="2:4" ht="15">
      <c r="B1059" s="166"/>
      <c r="C1059" s="173"/>
      <c r="D1059" s="167"/>
    </row>
    <row r="1060" spans="2:4" ht="15">
      <c r="B1060" s="166"/>
      <c r="C1060" s="173"/>
      <c r="D1060" s="167"/>
    </row>
    <row r="1061" spans="2:4" ht="15">
      <c r="B1061" s="166"/>
      <c r="C1061" s="173"/>
      <c r="D1061" s="167"/>
    </row>
    <row r="1062" spans="2:4" ht="15">
      <c r="B1062" s="166"/>
      <c r="C1062" s="173"/>
      <c r="D1062" s="167"/>
    </row>
    <row r="1063" spans="2:4" ht="15">
      <c r="B1063" s="166"/>
      <c r="C1063" s="173"/>
      <c r="D1063" s="167"/>
    </row>
    <row r="1064" spans="2:4" ht="15">
      <c r="B1064" s="166"/>
      <c r="C1064" s="173"/>
      <c r="D1064" s="167"/>
    </row>
    <row r="1065" spans="2:4" ht="15">
      <c r="B1065" s="166"/>
      <c r="C1065" s="173"/>
      <c r="D1065" s="167"/>
    </row>
    <row r="1066" spans="2:4" ht="15">
      <c r="B1066" s="166"/>
      <c r="C1066" s="173"/>
      <c r="D1066" s="167"/>
    </row>
    <row r="1067" spans="2:4" ht="15">
      <c r="B1067" s="166"/>
      <c r="C1067" s="173"/>
      <c r="D1067" s="167"/>
    </row>
    <row r="1068" spans="2:4" ht="15">
      <c r="B1068" s="166"/>
      <c r="C1068" s="173"/>
      <c r="D1068" s="167"/>
    </row>
    <row r="1069" spans="2:4" ht="15">
      <c r="B1069" s="166"/>
      <c r="C1069" s="173"/>
      <c r="D1069" s="167"/>
    </row>
    <row r="1070" spans="2:4" ht="15">
      <c r="B1070" s="166"/>
      <c r="C1070" s="173"/>
      <c r="D1070" s="167"/>
    </row>
    <row r="1071" spans="2:4" ht="15">
      <c r="B1071" s="166"/>
      <c r="C1071" s="173"/>
      <c r="D1071" s="167"/>
    </row>
    <row r="1072" spans="2:4" ht="15">
      <c r="B1072" s="166"/>
      <c r="C1072" s="173"/>
      <c r="D1072" s="167"/>
    </row>
    <row r="1073" spans="2:4" ht="15">
      <c r="B1073" s="166"/>
      <c r="C1073" s="173"/>
      <c r="D1073" s="167"/>
    </row>
    <row r="1074" spans="2:4" ht="15">
      <c r="B1074" s="166"/>
      <c r="C1074" s="173"/>
      <c r="D1074" s="167"/>
    </row>
    <row r="1075" spans="2:4" ht="15">
      <c r="B1075" s="166"/>
      <c r="C1075" s="173"/>
      <c r="D1075" s="167"/>
    </row>
    <row r="1076" spans="2:4" ht="15">
      <c r="B1076" s="166"/>
      <c r="C1076" s="173"/>
      <c r="D1076" s="167"/>
    </row>
    <row r="1077" spans="2:4" ht="15">
      <c r="B1077" s="166"/>
      <c r="C1077" s="173"/>
      <c r="D1077" s="167"/>
    </row>
    <row r="1078" spans="2:4" ht="15">
      <c r="B1078" s="166"/>
      <c r="C1078" s="173"/>
      <c r="D1078" s="167"/>
    </row>
    <row r="1079" spans="2:4" ht="15">
      <c r="B1079" s="166"/>
      <c r="C1079" s="173"/>
      <c r="D1079" s="167"/>
    </row>
    <row r="1080" spans="2:4" ht="15">
      <c r="B1080" s="166"/>
      <c r="C1080" s="173"/>
      <c r="D1080" s="167"/>
    </row>
    <row r="1081" spans="2:4" ht="15">
      <c r="B1081" s="166"/>
      <c r="C1081" s="173"/>
      <c r="D1081" s="167"/>
    </row>
    <row r="1082" spans="2:4" ht="15">
      <c r="B1082" s="166"/>
      <c r="C1082" s="173"/>
      <c r="D1082" s="167"/>
    </row>
    <row r="1083" spans="2:4" ht="15">
      <c r="B1083" s="166"/>
      <c r="C1083" s="173"/>
      <c r="D1083" s="167"/>
    </row>
    <row r="1084" spans="2:4" ht="15">
      <c r="B1084" s="166"/>
      <c r="C1084" s="173"/>
      <c r="D1084" s="167"/>
    </row>
    <row r="1085" spans="2:4" ht="15">
      <c r="B1085" s="166"/>
      <c r="C1085" s="173"/>
      <c r="D1085" s="167"/>
    </row>
    <row r="1086" spans="2:4" ht="15">
      <c r="B1086" s="166"/>
      <c r="C1086" s="173"/>
      <c r="D1086" s="167"/>
    </row>
    <row r="1087" spans="2:4" ht="15">
      <c r="B1087" s="166"/>
      <c r="C1087" s="173"/>
      <c r="D1087" s="167"/>
    </row>
    <row r="1088" spans="2:4" ht="15">
      <c r="B1088" s="166"/>
      <c r="C1088" s="173"/>
      <c r="D1088" s="167"/>
    </row>
    <row r="1089" spans="2:4" ht="15">
      <c r="B1089" s="166"/>
      <c r="C1089" s="173"/>
      <c r="D1089" s="167"/>
    </row>
    <row r="1090" spans="2:4" ht="15">
      <c r="B1090" s="166"/>
      <c r="C1090" s="173"/>
      <c r="D1090" s="167"/>
    </row>
    <row r="1091" spans="2:4" ht="15">
      <c r="B1091" s="166"/>
      <c r="C1091" s="173"/>
      <c r="D1091" s="167"/>
    </row>
    <row r="1092" spans="2:4" ht="15">
      <c r="B1092" s="166"/>
      <c r="C1092" s="173"/>
      <c r="D1092" s="167"/>
    </row>
    <row r="1093" spans="2:4" ht="15">
      <c r="B1093" s="166"/>
      <c r="C1093" s="173"/>
      <c r="D1093" s="167"/>
    </row>
    <row r="1094" spans="2:4" ht="15">
      <c r="B1094" s="166"/>
      <c r="C1094" s="173"/>
      <c r="D1094" s="167"/>
    </row>
    <row r="1095" spans="2:4" ht="15">
      <c r="B1095" s="168"/>
      <c r="C1095" s="176"/>
      <c r="D1095" s="169"/>
    </row>
    <row r="1096" spans="2:4" ht="15"/>
    <row r="1097" spans="2:4" ht="15"/>
    <row r="1098" spans="2:4" ht="15"/>
    <row r="1099" spans="2:4" ht="15"/>
  </sheetData>
  <autoFilter ref="B1:E1" xr:uid="{4227CEFC-BBAB-4A52-A790-271D2132E4C8}"/>
  <mergeCells count="7">
    <mergeCell ref="A193:A195"/>
    <mergeCell ref="A190:A192"/>
    <mergeCell ref="A3:A8"/>
    <mergeCell ref="A83:A180"/>
    <mergeCell ref="A181:A183"/>
    <mergeCell ref="A184:A189"/>
    <mergeCell ref="A9:A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025A-27DC-4F36-9C00-C57D225101A6}">
  <sheetPr>
    <tabColor rgb="FF0070C0"/>
  </sheetPr>
  <dimension ref="A1:I110"/>
  <sheetViews>
    <sheetView workbookViewId="0">
      <selection activeCell="G4" sqref="G4"/>
    </sheetView>
  </sheetViews>
  <sheetFormatPr defaultColWidth="11.42578125" defaultRowHeight="14.65"/>
  <cols>
    <col min="1" max="1" width="20" customWidth="1"/>
    <col min="2" max="2" width="29.7109375" customWidth="1"/>
    <col min="3" max="3" width="17.42578125" customWidth="1"/>
    <col min="4" max="4" width="15.85546875" customWidth="1"/>
    <col min="5" max="5" width="27.7109375" customWidth="1"/>
    <col min="6" max="6" width="18.85546875" customWidth="1"/>
    <col min="7" max="7" width="52.42578125" customWidth="1"/>
    <col min="8" max="8" width="25.42578125" customWidth="1"/>
    <col min="9" max="9" width="41.42578125" customWidth="1"/>
  </cols>
  <sheetData>
    <row r="1" spans="1:9" ht="61.7">
      <c r="A1" s="3" t="s">
        <v>0</v>
      </c>
      <c r="B1" s="4" t="s">
        <v>1</v>
      </c>
      <c r="C1" s="5" t="s">
        <v>2</v>
      </c>
      <c r="D1" s="17" t="s">
        <v>3</v>
      </c>
      <c r="E1" s="188" t="s">
        <v>4</v>
      </c>
      <c r="F1" s="188" t="s">
        <v>5</v>
      </c>
      <c r="G1" s="246" t="s">
        <v>28</v>
      </c>
      <c r="H1" s="247" t="s">
        <v>29</v>
      </c>
      <c r="I1" s="246" t="s">
        <v>30</v>
      </c>
    </row>
    <row r="2" spans="1:9" ht="20.65">
      <c r="A2" s="326" t="s">
        <v>479</v>
      </c>
      <c r="B2" s="185" t="s">
        <v>279</v>
      </c>
      <c r="C2" s="185" t="s">
        <v>11</v>
      </c>
      <c r="D2" s="185" t="s">
        <v>559</v>
      </c>
      <c r="E2" s="330" t="s">
        <v>23</v>
      </c>
      <c r="F2" s="329">
        <v>4</v>
      </c>
      <c r="G2" s="37"/>
      <c r="H2" s="37"/>
      <c r="I2" s="37"/>
    </row>
    <row r="3" spans="1:9" ht="20.65">
      <c r="A3" s="326"/>
      <c r="B3" s="185" t="s">
        <v>564</v>
      </c>
      <c r="C3" s="185" t="s">
        <v>11</v>
      </c>
      <c r="D3" s="185" t="s">
        <v>559</v>
      </c>
      <c r="E3" s="329"/>
      <c r="F3" s="329"/>
      <c r="G3" s="37"/>
      <c r="H3" s="37"/>
      <c r="I3" s="37"/>
    </row>
    <row r="4" spans="1:9" ht="226.35">
      <c r="A4" s="326"/>
      <c r="B4" s="185" t="s">
        <v>565</v>
      </c>
      <c r="C4" s="185" t="s">
        <v>7</v>
      </c>
      <c r="D4" s="185" t="s">
        <v>559</v>
      </c>
      <c r="E4" s="329"/>
      <c r="F4" s="329"/>
      <c r="G4" s="153" t="s">
        <v>566</v>
      </c>
      <c r="H4" s="69">
        <v>45733</v>
      </c>
      <c r="I4" s="37"/>
    </row>
    <row r="5" spans="1:9" ht="20.65">
      <c r="A5" s="326"/>
      <c r="B5" s="185"/>
      <c r="C5" s="185"/>
      <c r="D5" s="185"/>
      <c r="E5" s="223"/>
      <c r="F5" s="329"/>
      <c r="G5" s="37"/>
      <c r="H5" s="37"/>
      <c r="I5" s="37"/>
    </row>
    <row r="6" spans="1:9" ht="20.65">
      <c r="A6" s="326"/>
      <c r="B6" s="185"/>
      <c r="C6" s="185"/>
      <c r="D6" s="185"/>
      <c r="E6" s="223"/>
      <c r="F6" s="329"/>
      <c r="G6" s="27"/>
      <c r="H6" s="27"/>
      <c r="I6" s="27"/>
    </row>
    <row r="7" spans="1:9" ht="20.65">
      <c r="G7" s="27"/>
      <c r="H7" s="27"/>
      <c r="I7" s="27"/>
    </row>
    <row r="8" spans="1:9" ht="20.65">
      <c r="G8" s="27"/>
      <c r="H8" s="27"/>
      <c r="I8" s="27"/>
    </row>
    <row r="9" spans="1:9" ht="20.65">
      <c r="G9" s="27"/>
      <c r="H9" s="27"/>
      <c r="I9" s="27"/>
    </row>
    <row r="10" spans="1:9" ht="20.65">
      <c r="G10" s="27"/>
      <c r="H10" s="27"/>
      <c r="I10" s="27"/>
    </row>
    <row r="11" spans="1:9" ht="20.65">
      <c r="G11" s="27"/>
      <c r="H11" s="27"/>
      <c r="I11" s="27"/>
    </row>
    <row r="12" spans="1:9" ht="21" thickBot="1">
      <c r="G12" s="28"/>
      <c r="H12" s="28"/>
      <c r="I12" s="28"/>
    </row>
    <row r="13" spans="1:9" ht="20.65">
      <c r="G13" s="29"/>
      <c r="H13" s="29"/>
      <c r="I13" s="29"/>
    </row>
    <row r="14" spans="1:9" ht="20.65">
      <c r="G14" s="30"/>
      <c r="H14" s="30"/>
      <c r="I14" s="30"/>
    </row>
    <row r="15" spans="1:9" ht="20.65">
      <c r="G15" s="30"/>
      <c r="H15" s="30"/>
      <c r="I15" s="30"/>
    </row>
    <row r="16" spans="1:9" ht="20.65">
      <c r="G16" s="30"/>
      <c r="H16" s="30"/>
      <c r="I16" s="30"/>
    </row>
    <row r="17" spans="7:9" ht="20.65">
      <c r="G17" s="30"/>
      <c r="H17" s="30"/>
      <c r="I17" s="30"/>
    </row>
    <row r="18" spans="7:9" ht="20.65">
      <c r="G18" s="30"/>
      <c r="H18" s="30"/>
      <c r="I18" s="30"/>
    </row>
    <row r="19" spans="7:9" ht="20.65">
      <c r="G19" s="30"/>
      <c r="H19" s="30"/>
      <c r="I19" s="30"/>
    </row>
    <row r="20" spans="7:9" ht="20.65">
      <c r="G20" s="30"/>
      <c r="H20" s="30"/>
      <c r="I20" s="30"/>
    </row>
    <row r="21" spans="7:9" ht="20.65">
      <c r="G21" s="30"/>
      <c r="H21" s="30"/>
      <c r="I21" s="30"/>
    </row>
    <row r="22" spans="7:9" ht="20.65">
      <c r="G22" s="30"/>
      <c r="H22" s="30"/>
      <c r="I22" s="30"/>
    </row>
    <row r="23" spans="7:9" ht="20.65">
      <c r="G23" s="30"/>
      <c r="H23" s="30"/>
      <c r="I23" s="30"/>
    </row>
    <row r="24" spans="7:9" ht="20.65">
      <c r="G24" s="30"/>
      <c r="H24" s="30"/>
      <c r="I24" s="30"/>
    </row>
    <row r="25" spans="7:9" ht="20.65">
      <c r="G25" s="30"/>
      <c r="H25" s="30"/>
      <c r="I25" s="30"/>
    </row>
    <row r="26" spans="7:9" ht="20.65">
      <c r="G26" s="30"/>
      <c r="H26" s="30"/>
      <c r="I26" s="30"/>
    </row>
    <row r="27" spans="7:9" ht="20.65">
      <c r="G27" s="30"/>
      <c r="H27" s="30"/>
      <c r="I27" s="30"/>
    </row>
    <row r="28" spans="7:9" ht="20.65">
      <c r="G28" s="32"/>
      <c r="H28" s="32"/>
      <c r="I28" s="32"/>
    </row>
    <row r="29" spans="7:9" ht="20.65">
      <c r="G29" s="32"/>
      <c r="H29" s="32"/>
      <c r="I29" s="32"/>
    </row>
    <row r="30" spans="7:9" ht="20.65">
      <c r="G30" s="32"/>
      <c r="H30" s="32"/>
      <c r="I30" s="32"/>
    </row>
    <row r="31" spans="7:9" ht="20.65">
      <c r="G31" s="32"/>
      <c r="H31" s="32"/>
      <c r="I31" s="32"/>
    </row>
    <row r="32" spans="7:9" ht="20.65">
      <c r="G32" s="32"/>
      <c r="H32" s="32"/>
      <c r="I32" s="32"/>
    </row>
    <row r="33" spans="7:9" ht="20.65">
      <c r="G33" s="32"/>
      <c r="H33" s="32"/>
      <c r="I33" s="32"/>
    </row>
    <row r="34" spans="7:9" ht="20.65">
      <c r="G34" s="32"/>
      <c r="H34" s="32"/>
      <c r="I34" s="32"/>
    </row>
    <row r="35" spans="7:9" ht="20.65">
      <c r="G35" s="32"/>
      <c r="H35" s="32"/>
      <c r="I35" s="32"/>
    </row>
    <row r="36" spans="7:9" ht="20.65">
      <c r="G36" s="32"/>
      <c r="H36" s="32"/>
      <c r="I36" s="32"/>
    </row>
    <row r="37" spans="7:9" ht="20.65">
      <c r="G37" s="32"/>
      <c r="H37" s="32"/>
      <c r="I37" s="32"/>
    </row>
    <row r="38" spans="7:9" ht="20.65">
      <c r="G38" s="32"/>
      <c r="H38" s="32"/>
      <c r="I38" s="32"/>
    </row>
    <row r="39" spans="7:9" ht="20.65">
      <c r="G39" s="32"/>
      <c r="H39" s="32"/>
      <c r="I39" s="32"/>
    </row>
    <row r="40" spans="7:9" ht="20.65">
      <c r="G40" s="32"/>
      <c r="H40" s="32"/>
      <c r="I40" s="32"/>
    </row>
    <row r="41" spans="7:9" ht="20.65">
      <c r="G41" s="32"/>
      <c r="H41" s="32"/>
      <c r="I41" s="32"/>
    </row>
    <row r="42" spans="7:9" ht="21" thickBot="1">
      <c r="G42" s="33"/>
      <c r="H42" s="33"/>
      <c r="I42" s="33"/>
    </row>
    <row r="43" spans="7:9" ht="20.65">
      <c r="G43" s="34"/>
      <c r="H43" s="34"/>
      <c r="I43" s="34"/>
    </row>
    <row r="44" spans="7:9" ht="20.65">
      <c r="G44" s="35"/>
      <c r="H44" s="35"/>
      <c r="I44" s="35"/>
    </row>
    <row r="45" spans="7:9" ht="20.65">
      <c r="G45" s="35"/>
      <c r="H45" s="35"/>
      <c r="I45" s="35"/>
    </row>
    <row r="46" spans="7:9" ht="20.65">
      <c r="G46" s="35"/>
      <c r="H46" s="35"/>
      <c r="I46" s="35"/>
    </row>
    <row r="47" spans="7:9" ht="20.65">
      <c r="G47" s="35"/>
      <c r="H47" s="35"/>
      <c r="I47" s="35"/>
    </row>
    <row r="48" spans="7:9" ht="20.65">
      <c r="G48" s="35"/>
      <c r="H48" s="35"/>
      <c r="I48" s="35"/>
    </row>
    <row r="49" spans="7:9" ht="20.65">
      <c r="G49" s="35"/>
      <c r="H49" s="35"/>
      <c r="I49" s="35"/>
    </row>
    <row r="50" spans="7:9" ht="20.65">
      <c r="G50" s="35"/>
      <c r="H50" s="35"/>
      <c r="I50" s="35"/>
    </row>
    <row r="51" spans="7:9" ht="20.65">
      <c r="G51" s="35"/>
      <c r="H51" s="35"/>
      <c r="I51" s="35"/>
    </row>
    <row r="52" spans="7:9" ht="20.65">
      <c r="G52" s="35"/>
      <c r="H52" s="35"/>
      <c r="I52" s="35"/>
    </row>
    <row r="53" spans="7:9" ht="20.65">
      <c r="G53" s="35"/>
      <c r="H53" s="35"/>
      <c r="I53" s="35"/>
    </row>
    <row r="54" spans="7:9" ht="20.65">
      <c r="G54" s="35"/>
      <c r="H54" s="35"/>
      <c r="I54" s="35"/>
    </row>
    <row r="55" spans="7:9" ht="20.65">
      <c r="G55" s="35"/>
      <c r="H55" s="35"/>
      <c r="I55" s="35"/>
    </row>
    <row r="56" spans="7:9" ht="20.65">
      <c r="G56" s="35"/>
      <c r="H56" s="35"/>
      <c r="I56" s="35"/>
    </row>
    <row r="57" spans="7:9" ht="20.65">
      <c r="G57" s="35"/>
      <c r="H57" s="35"/>
      <c r="I57" s="35"/>
    </row>
    <row r="58" spans="7:9" ht="20.65">
      <c r="G58" s="35"/>
      <c r="H58" s="35"/>
      <c r="I58" s="35"/>
    </row>
    <row r="59" spans="7:9" ht="20.65">
      <c r="G59" s="35"/>
      <c r="H59" s="35"/>
      <c r="I59" s="35"/>
    </row>
    <row r="60" spans="7:9" ht="20.65">
      <c r="G60" s="35"/>
      <c r="H60" s="35"/>
      <c r="I60" s="35"/>
    </row>
    <row r="61" spans="7:9" ht="20.65">
      <c r="G61" s="35"/>
      <c r="H61" s="35"/>
      <c r="I61" s="35"/>
    </row>
    <row r="62" spans="7:9" ht="20.65">
      <c r="G62" s="35"/>
      <c r="H62" s="35"/>
      <c r="I62" s="35"/>
    </row>
    <row r="63" spans="7:9" ht="20.65">
      <c r="G63" s="35"/>
      <c r="H63" s="35"/>
      <c r="I63" s="35"/>
    </row>
    <row r="64" spans="7:9" ht="20.65">
      <c r="G64" s="35"/>
      <c r="H64" s="35"/>
      <c r="I64" s="35"/>
    </row>
    <row r="65" spans="7:9" ht="20.65">
      <c r="G65" s="35"/>
      <c r="H65" s="35"/>
      <c r="I65" s="35"/>
    </row>
    <row r="66" spans="7:9" ht="20.65">
      <c r="G66" s="35"/>
      <c r="H66" s="35"/>
      <c r="I66" s="35"/>
    </row>
    <row r="67" spans="7:9" ht="20.65">
      <c r="G67" s="35"/>
      <c r="H67" s="35"/>
      <c r="I67" s="35"/>
    </row>
    <row r="68" spans="7:9" ht="20.65">
      <c r="G68" s="35"/>
      <c r="H68" s="35"/>
      <c r="I68" s="35"/>
    </row>
    <row r="69" spans="7:9" ht="20.65">
      <c r="G69" s="35"/>
      <c r="H69" s="35"/>
      <c r="I69" s="35"/>
    </row>
    <row r="70" spans="7:9" ht="20.65">
      <c r="G70" s="35"/>
      <c r="H70" s="35"/>
      <c r="I70" s="35"/>
    </row>
    <row r="71" spans="7:9" ht="20.65">
      <c r="G71" s="35"/>
      <c r="H71" s="35"/>
      <c r="I71" s="35"/>
    </row>
    <row r="72" spans="7:9" ht="20.65">
      <c r="G72" s="35"/>
      <c r="H72" s="35"/>
      <c r="I72" s="35"/>
    </row>
    <row r="73" spans="7:9" ht="20.65">
      <c r="G73" s="35"/>
      <c r="H73" s="35"/>
      <c r="I73" s="35"/>
    </row>
    <row r="74" spans="7:9" ht="20.65">
      <c r="G74" s="35"/>
      <c r="H74" s="35"/>
      <c r="I74" s="35"/>
    </row>
    <row r="75" spans="7:9" ht="20.65">
      <c r="G75" s="35"/>
      <c r="H75" s="35"/>
      <c r="I75" s="35"/>
    </row>
    <row r="76" spans="7:9" ht="20.65">
      <c r="G76" s="35"/>
      <c r="H76" s="35"/>
      <c r="I76" s="35"/>
    </row>
    <row r="77" spans="7:9" ht="20.65">
      <c r="G77" s="35"/>
      <c r="H77" s="35"/>
      <c r="I77" s="35"/>
    </row>
    <row r="78" spans="7:9" ht="20.65">
      <c r="G78" s="35"/>
      <c r="H78" s="35"/>
      <c r="I78" s="35"/>
    </row>
    <row r="79" spans="7:9" ht="20.65">
      <c r="G79" s="35"/>
      <c r="H79" s="35"/>
      <c r="I79" s="35"/>
    </row>
    <row r="80" spans="7:9" ht="20.65">
      <c r="G80" s="35"/>
      <c r="H80" s="35"/>
      <c r="I80" s="35"/>
    </row>
    <row r="81" spans="7:9" ht="21" thickBot="1">
      <c r="G81" s="36"/>
      <c r="H81" s="36"/>
      <c r="I81" s="36"/>
    </row>
    <row r="82" spans="7:9" ht="20.65">
      <c r="G82" s="1"/>
      <c r="H82" s="1"/>
      <c r="I82" s="1"/>
    </row>
    <row r="83" spans="7:9" ht="20.65">
      <c r="G83" s="240"/>
      <c r="H83" s="240"/>
      <c r="I83" s="240"/>
    </row>
    <row r="84" spans="7:9" ht="20.65">
      <c r="G84" s="228"/>
      <c r="H84" s="228"/>
      <c r="I84" s="228"/>
    </row>
    <row r="85" spans="7:9" ht="20.65">
      <c r="G85" s="1"/>
      <c r="H85" s="1"/>
      <c r="I85" s="1"/>
    </row>
    <row r="86" spans="7:9" ht="20.65">
      <c r="G86" s="1"/>
      <c r="H86" s="1"/>
      <c r="I86" s="1"/>
    </row>
    <row r="87" spans="7:9" ht="20.65">
      <c r="G87" s="1"/>
      <c r="H87" s="1"/>
      <c r="I87" s="1"/>
    </row>
    <row r="88" spans="7:9" ht="20.65">
      <c r="G88" s="1"/>
      <c r="H88" s="1"/>
      <c r="I88" s="1"/>
    </row>
    <row r="89" spans="7:9" ht="20.65">
      <c r="G89" s="1"/>
      <c r="H89" s="1"/>
      <c r="I89" s="1"/>
    </row>
    <row r="90" spans="7:9" ht="20.65">
      <c r="G90" s="1"/>
      <c r="H90" s="1"/>
      <c r="I90" s="1"/>
    </row>
    <row r="91" spans="7:9" ht="20.65">
      <c r="G91" s="179"/>
      <c r="H91" s="179"/>
      <c r="I91" s="179"/>
    </row>
    <row r="92" spans="7:9" ht="20.65">
      <c r="G92" s="179"/>
      <c r="H92" s="179"/>
      <c r="I92" s="179"/>
    </row>
    <row r="93" spans="7:9" ht="20.65">
      <c r="G93" s="6"/>
      <c r="H93" s="6"/>
      <c r="I93" s="6"/>
    </row>
    <row r="94" spans="7:9" ht="20.65">
      <c r="G94" s="6"/>
      <c r="H94" s="6"/>
      <c r="I94" s="6"/>
    </row>
    <row r="95" spans="7:9" ht="20.65">
      <c r="G95" s="6"/>
      <c r="H95" s="6"/>
      <c r="I95" s="6"/>
    </row>
    <row r="96" spans="7:9" ht="20.65">
      <c r="G96" s="6"/>
      <c r="H96" s="6"/>
      <c r="I96" s="6"/>
    </row>
    <row r="97" spans="7:9" ht="20.65">
      <c r="G97" s="6"/>
      <c r="H97" s="6"/>
      <c r="I97" s="6"/>
    </row>
    <row r="98" spans="7:9" ht="20.65">
      <c r="G98" s="6"/>
      <c r="H98" s="6"/>
      <c r="I98" s="6"/>
    </row>
    <row r="99" spans="7:9" ht="20.65">
      <c r="G99" s="6"/>
      <c r="H99" s="6"/>
      <c r="I99" s="6"/>
    </row>
    <row r="100" spans="7:9" ht="20.65">
      <c r="G100" s="6"/>
      <c r="H100" s="6"/>
      <c r="I100" s="6"/>
    </row>
    <row r="101" spans="7:9" ht="20.65">
      <c r="G101" s="6"/>
      <c r="H101" s="6"/>
      <c r="I101" s="6"/>
    </row>
    <row r="102" spans="7:9" ht="20.65">
      <c r="G102" s="6"/>
      <c r="H102" s="6"/>
      <c r="I102" s="6"/>
    </row>
    <row r="103" spans="7:9" ht="20.65">
      <c r="G103" s="6"/>
      <c r="H103" s="6"/>
      <c r="I103" s="6"/>
    </row>
    <row r="104" spans="7:9" ht="20.65">
      <c r="G104" s="6"/>
      <c r="H104" s="6"/>
      <c r="I104" s="6"/>
    </row>
    <row r="105" spans="7:9" ht="20.65">
      <c r="G105" s="6"/>
      <c r="H105" s="6"/>
      <c r="I105" s="6"/>
    </row>
    <row r="106" spans="7:9" ht="20.65">
      <c r="G106" s="6"/>
      <c r="H106" s="6"/>
      <c r="I106" s="6"/>
    </row>
    <row r="107" spans="7:9" ht="20.65">
      <c r="G107" s="6"/>
      <c r="H107" s="6"/>
      <c r="I107" s="6"/>
    </row>
    <row r="108" spans="7:9" ht="20.65">
      <c r="G108" s="6"/>
      <c r="H108" s="6"/>
      <c r="I108" s="6"/>
    </row>
    <row r="109" spans="7:9" ht="20.65">
      <c r="G109" s="6"/>
      <c r="H109" s="6"/>
      <c r="I109" s="6"/>
    </row>
    <row r="110" spans="7:9" ht="20.65">
      <c r="G110" s="6"/>
      <c r="H110" s="6"/>
      <c r="I110" s="6"/>
    </row>
  </sheetData>
  <mergeCells count="3">
    <mergeCell ref="A2:A6"/>
    <mergeCell ref="F2:F6"/>
    <mergeCell ref="E2: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BF70-149E-7145-B99E-64E6167A556D}">
  <sheetPr>
    <tabColor rgb="FFFF0000"/>
  </sheetPr>
  <dimension ref="G8:K21"/>
  <sheetViews>
    <sheetView workbookViewId="0">
      <selection activeCell="H34" sqref="H34"/>
    </sheetView>
  </sheetViews>
  <sheetFormatPr defaultColWidth="11.42578125" defaultRowHeight="14.65"/>
  <cols>
    <col min="8" max="8" width="32.42578125" customWidth="1"/>
    <col min="9" max="9" width="23" customWidth="1"/>
    <col min="10" max="10" width="36" customWidth="1"/>
    <col min="11" max="11" width="12.85546875" customWidth="1"/>
  </cols>
  <sheetData>
    <row r="8" spans="7:11" ht="20.65">
      <c r="G8" s="6"/>
    </row>
    <row r="9" spans="7:11" ht="20.65">
      <c r="G9" s="6"/>
    </row>
    <row r="10" spans="7:11" ht="30.95">
      <c r="G10" s="6"/>
      <c r="H10" s="279" t="s">
        <v>3</v>
      </c>
      <c r="I10" s="279" t="s">
        <v>567</v>
      </c>
      <c r="J10" s="279" t="s">
        <v>568</v>
      </c>
      <c r="K10" s="279" t="s">
        <v>8</v>
      </c>
    </row>
    <row r="11" spans="7:11" ht="30.95">
      <c r="G11" s="6"/>
      <c r="H11" s="280" t="s">
        <v>569</v>
      </c>
      <c r="I11" s="280">
        <v>20</v>
      </c>
      <c r="J11" s="280">
        <v>68</v>
      </c>
      <c r="K11" s="280">
        <v>89</v>
      </c>
    </row>
    <row r="12" spans="7:11" ht="30.95">
      <c r="G12" s="6"/>
      <c r="H12" s="280" t="s">
        <v>570</v>
      </c>
      <c r="I12" s="280">
        <v>0</v>
      </c>
      <c r="J12" s="280">
        <v>11</v>
      </c>
      <c r="K12" s="280">
        <v>10</v>
      </c>
    </row>
    <row r="13" spans="7:11" ht="30.95">
      <c r="G13" s="6"/>
      <c r="H13" s="280" t="s">
        <v>571</v>
      </c>
      <c r="I13" s="280">
        <v>40</v>
      </c>
      <c r="J13" s="280">
        <v>37</v>
      </c>
      <c r="K13" s="280">
        <v>78</v>
      </c>
    </row>
    <row r="14" spans="7:11" ht="30.95">
      <c r="G14" s="6"/>
      <c r="H14" s="280" t="s">
        <v>572</v>
      </c>
      <c r="I14" s="280">
        <v>8</v>
      </c>
      <c r="J14" s="280">
        <v>1</v>
      </c>
      <c r="K14" s="280">
        <v>9</v>
      </c>
    </row>
    <row r="15" spans="7:11" ht="30.95">
      <c r="G15" s="6"/>
      <c r="H15" s="280" t="s">
        <v>559</v>
      </c>
      <c r="I15" s="280">
        <v>3</v>
      </c>
      <c r="J15" s="280">
        <v>1</v>
      </c>
      <c r="K15" s="280">
        <v>4</v>
      </c>
    </row>
    <row r="16" spans="7:11" ht="30.95">
      <c r="G16" s="6"/>
      <c r="H16" s="280" t="s">
        <v>8</v>
      </c>
      <c r="I16" s="280"/>
      <c r="J16" s="280"/>
      <c r="K16" s="280"/>
    </row>
    <row r="17" spans="7:11" ht="20.65">
      <c r="G17" s="6"/>
      <c r="H17" s="403" t="s">
        <v>573</v>
      </c>
      <c r="I17" s="403"/>
      <c r="J17" s="403"/>
      <c r="K17" s="403"/>
    </row>
    <row r="18" spans="7:11" ht="20.65">
      <c r="G18" s="6"/>
    </row>
    <row r="19" spans="7:11" ht="20.65">
      <c r="G19" s="6"/>
    </row>
    <row r="20" spans="7:11" ht="20.65">
      <c r="G20" s="6"/>
    </row>
    <row r="21" spans="7:11" ht="20.65">
      <c r="G21" s="6"/>
    </row>
  </sheetData>
  <mergeCells count="1">
    <mergeCell ref="H17:K17"/>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B425-6C3B-4CC8-BBC3-34F723E494B0}">
  <sheetPr>
    <tabColor rgb="FF0070C0"/>
  </sheetPr>
  <dimension ref="I10:L14"/>
  <sheetViews>
    <sheetView topLeftCell="C1" workbookViewId="0">
      <selection activeCell="O14" sqref="O14"/>
    </sheetView>
  </sheetViews>
  <sheetFormatPr defaultColWidth="11.42578125" defaultRowHeight="23.1"/>
  <cols>
    <col min="1" max="9" width="11.42578125" style="25"/>
    <col min="10" max="10" width="18.7109375" style="25" bestFit="1" customWidth="1"/>
    <col min="11" max="11" width="25.140625" style="25" bestFit="1" customWidth="1"/>
    <col min="12" max="12" width="7.85546875" style="25" bestFit="1" customWidth="1"/>
    <col min="13" max="16384" width="11.42578125" style="25"/>
  </cols>
  <sheetData>
    <row r="10" spans="9:12">
      <c r="I10" s="281" t="s">
        <v>574</v>
      </c>
      <c r="J10" s="281" t="s">
        <v>575</v>
      </c>
      <c r="K10" s="281" t="s">
        <v>576</v>
      </c>
      <c r="L10" s="281" t="s">
        <v>8</v>
      </c>
    </row>
    <row r="11" spans="9:12">
      <c r="I11" s="282" t="s">
        <v>577</v>
      </c>
      <c r="J11" s="283">
        <v>21</v>
      </c>
      <c r="K11" s="283">
        <v>28</v>
      </c>
      <c r="L11" s="283">
        <f>J11+K11</f>
        <v>49</v>
      </c>
    </row>
    <row r="12" spans="9:12">
      <c r="I12" s="282" t="s">
        <v>398</v>
      </c>
      <c r="J12" s="283">
        <v>15</v>
      </c>
      <c r="K12" s="283">
        <v>10</v>
      </c>
      <c r="L12" s="283">
        <v>24</v>
      </c>
    </row>
    <row r="13" spans="9:12">
      <c r="I13" s="282" t="s">
        <v>578</v>
      </c>
      <c r="J13" s="283">
        <v>4</v>
      </c>
      <c r="K13" s="283">
        <v>0</v>
      </c>
      <c r="L13" s="283">
        <v>4</v>
      </c>
    </row>
    <row r="14" spans="9:12">
      <c r="I14" s="282" t="s">
        <v>579</v>
      </c>
      <c r="J14" s="283">
        <v>19</v>
      </c>
      <c r="K14" s="283">
        <v>80</v>
      </c>
      <c r="L14" s="283">
        <v>99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D1EC-F0E5-E54E-9D3A-FEC2A734DF97}">
  <sheetPr>
    <tabColor rgb="FF7030A0"/>
  </sheetPr>
  <dimension ref="B2:H10"/>
  <sheetViews>
    <sheetView workbookViewId="0"/>
  </sheetViews>
  <sheetFormatPr defaultColWidth="11.42578125" defaultRowHeight="14.65"/>
  <cols>
    <col min="2" max="2" width="20.140625" bestFit="1" customWidth="1"/>
    <col min="3" max="3" width="29.28515625" bestFit="1" customWidth="1"/>
    <col min="4" max="4" width="23.85546875" bestFit="1" customWidth="1"/>
    <col min="5" max="5" width="8.140625" bestFit="1" customWidth="1"/>
  </cols>
  <sheetData>
    <row r="2" spans="2:8" s="45" customFormat="1" ht="20.65">
      <c r="B2" s="284" t="s">
        <v>580</v>
      </c>
      <c r="C2" s="284" t="s">
        <v>114</v>
      </c>
      <c r="D2" s="284" t="s">
        <v>581</v>
      </c>
      <c r="E2" s="285" t="s">
        <v>137</v>
      </c>
      <c r="F2" s="48"/>
      <c r="G2" s="48"/>
      <c r="H2" s="48"/>
    </row>
    <row r="6" spans="2:8" ht="18.399999999999999">
      <c r="B6" s="63" t="s">
        <v>582</v>
      </c>
    </row>
    <row r="7" spans="2:8" ht="20.65">
      <c r="B7" s="286" t="s">
        <v>583</v>
      </c>
      <c r="C7" s="286" t="s">
        <v>7</v>
      </c>
      <c r="D7" s="286" t="s">
        <v>40</v>
      </c>
    </row>
    <row r="8" spans="2:8" ht="20.65">
      <c r="B8" s="286" t="s">
        <v>584</v>
      </c>
      <c r="C8" s="286" t="s">
        <v>7</v>
      </c>
      <c r="D8" s="57" t="s">
        <v>50</v>
      </c>
    </row>
    <row r="9" spans="2:8" ht="20.65">
      <c r="B9" s="287" t="s">
        <v>585</v>
      </c>
      <c r="C9" s="287" t="s">
        <v>7</v>
      </c>
      <c r="D9" s="287" t="s">
        <v>395</v>
      </c>
    </row>
    <row r="10" spans="2:8" ht="20.65">
      <c r="B10" s="286" t="s">
        <v>586</v>
      </c>
      <c r="C10" s="286" t="s">
        <v>7</v>
      </c>
      <c r="D10" s="286" t="s">
        <v>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1750-6087-4431-A574-F6F6D71C71C4}">
  <sheetPr>
    <tabColor theme="9"/>
  </sheetPr>
  <dimension ref="C4:AA73"/>
  <sheetViews>
    <sheetView topLeftCell="A19" zoomScale="130" zoomScaleNormal="130" workbookViewId="0">
      <selection activeCell="H32" sqref="H32:I32"/>
    </sheetView>
  </sheetViews>
  <sheetFormatPr defaultColWidth="8.85546875" defaultRowHeight="14.65"/>
  <cols>
    <col min="3" max="3" width="43.42578125" bestFit="1" customWidth="1"/>
    <col min="4" max="9" width="13.28515625" customWidth="1"/>
    <col min="10" max="10" width="48.28515625" customWidth="1"/>
    <col min="11" max="12" width="8.85546875" hidden="1" customWidth="1"/>
    <col min="13" max="13" width="21.42578125" hidden="1" customWidth="1"/>
    <col min="14" max="14" width="15.42578125" hidden="1" customWidth="1"/>
    <col min="15" max="15" width="22.42578125" customWidth="1"/>
    <col min="16" max="16" width="58.85546875" style="138" customWidth="1"/>
    <col min="17" max="17" width="11" customWidth="1"/>
    <col min="21" max="21" width="10" bestFit="1" customWidth="1"/>
    <col min="23" max="23" width="9" bestFit="1" customWidth="1"/>
  </cols>
  <sheetData>
    <row r="4" spans="3:16" ht="26.1">
      <c r="C4" s="404" t="s">
        <v>587</v>
      </c>
      <c r="D4" s="404"/>
      <c r="E4" s="404"/>
      <c r="F4" s="404"/>
      <c r="G4" s="404"/>
      <c r="H4" s="404"/>
      <c r="I4" s="404"/>
      <c r="J4" s="404"/>
    </row>
    <row r="5" spans="3:16" ht="18.399999999999999">
      <c r="C5" s="414" t="s">
        <v>3</v>
      </c>
      <c r="D5" s="414" t="s">
        <v>588</v>
      </c>
      <c r="E5" s="414"/>
      <c r="F5" s="414" t="s">
        <v>569</v>
      </c>
      <c r="G5" s="414"/>
      <c r="H5" s="414" t="s">
        <v>8</v>
      </c>
      <c r="I5" s="414"/>
      <c r="J5" s="414" t="s">
        <v>589</v>
      </c>
      <c r="K5" s="418" t="s">
        <v>588</v>
      </c>
      <c r="L5" s="419"/>
      <c r="M5" s="419" t="s">
        <v>569</v>
      </c>
      <c r="N5" s="420"/>
      <c r="P5" s="417" t="s">
        <v>590</v>
      </c>
    </row>
    <row r="6" spans="3:16" ht="18.399999999999999">
      <c r="C6" s="414"/>
      <c r="D6" s="104" t="s">
        <v>591</v>
      </c>
      <c r="E6" s="104" t="s">
        <v>7</v>
      </c>
      <c r="F6" s="104" t="s">
        <v>592</v>
      </c>
      <c r="G6" s="104" t="s">
        <v>7</v>
      </c>
      <c r="H6" s="147" t="s">
        <v>591</v>
      </c>
      <c r="I6" s="147" t="s">
        <v>7</v>
      </c>
      <c r="J6" s="414"/>
      <c r="K6" s="288" t="s">
        <v>591</v>
      </c>
      <c r="L6" s="289" t="s">
        <v>7</v>
      </c>
      <c r="M6" s="289" t="s">
        <v>592</v>
      </c>
      <c r="N6" s="290" t="s">
        <v>7</v>
      </c>
      <c r="P6" s="417"/>
    </row>
    <row r="7" spans="3:16" ht="18.399999999999999">
      <c r="C7" s="102" t="s">
        <v>53</v>
      </c>
      <c r="D7" s="102">
        <v>1.25</v>
      </c>
      <c r="E7" s="102">
        <v>3</v>
      </c>
      <c r="F7" s="102">
        <f t="shared" ref="F7:F17" si="0">M7</f>
        <v>1.25</v>
      </c>
      <c r="G7" s="102">
        <f t="shared" ref="G7:G17" si="1">N7</f>
        <v>4.8</v>
      </c>
      <c r="H7" s="102">
        <f t="shared" ref="H7:H17" si="2">D7+F7</f>
        <v>2.5</v>
      </c>
      <c r="I7" s="102">
        <f t="shared" ref="I7:I17" si="3">E7+G7</f>
        <v>7.8</v>
      </c>
      <c r="J7" s="103" t="s">
        <v>593</v>
      </c>
      <c r="K7" s="291">
        <f>0.75+1+0.5</f>
        <v>2.25</v>
      </c>
      <c r="L7" s="292">
        <v>2</v>
      </c>
      <c r="M7" s="292">
        <f>0.25+1</f>
        <v>1.25</v>
      </c>
      <c r="N7" s="293">
        <f>0.1+0.7+4</f>
        <v>4.8</v>
      </c>
      <c r="P7" s="139" t="s">
        <v>594</v>
      </c>
    </row>
    <row r="8" spans="3:16" ht="18.399999999999999">
      <c r="C8" s="102" t="s">
        <v>595</v>
      </c>
      <c r="D8" s="102">
        <f t="shared" ref="D8:D17" si="4">K8</f>
        <v>2.4</v>
      </c>
      <c r="E8" s="102">
        <f t="shared" ref="E8:E17" si="5">L8</f>
        <v>3</v>
      </c>
      <c r="F8" s="102">
        <f t="shared" si="0"/>
        <v>2.2999999999999998</v>
      </c>
      <c r="G8" s="102">
        <f t="shared" si="1"/>
        <v>7.2</v>
      </c>
      <c r="H8" s="102">
        <f t="shared" si="2"/>
        <v>4.6999999999999993</v>
      </c>
      <c r="I8" s="102">
        <f t="shared" si="3"/>
        <v>10.199999999999999</v>
      </c>
      <c r="J8" s="103" t="s">
        <v>593</v>
      </c>
      <c r="K8" s="291">
        <f>0.5+0.9+1</f>
        <v>2.4</v>
      </c>
      <c r="L8" s="292">
        <v>3</v>
      </c>
      <c r="M8" s="292">
        <f>0.5+0.8+1</f>
        <v>2.2999999999999998</v>
      </c>
      <c r="N8" s="293">
        <f>0.6+0.6+6</f>
        <v>7.2</v>
      </c>
      <c r="P8" s="140" t="s">
        <v>596</v>
      </c>
    </row>
    <row r="9" spans="3:16" ht="18.399999999999999">
      <c r="C9" s="102" t="s">
        <v>597</v>
      </c>
      <c r="D9" s="102">
        <f t="shared" si="4"/>
        <v>3</v>
      </c>
      <c r="E9" s="102">
        <v>2</v>
      </c>
      <c r="F9" s="102">
        <f t="shared" si="0"/>
        <v>0.75</v>
      </c>
      <c r="G9" s="102">
        <f>N9</f>
        <v>6.3</v>
      </c>
      <c r="H9" s="102">
        <f t="shared" si="2"/>
        <v>3.75</v>
      </c>
      <c r="I9" s="102">
        <f t="shared" si="3"/>
        <v>8.3000000000000007</v>
      </c>
      <c r="J9" s="103" t="s">
        <v>598</v>
      </c>
      <c r="K9" s="291">
        <v>3</v>
      </c>
      <c r="L9" s="292">
        <v>3</v>
      </c>
      <c r="M9" s="292">
        <f>0.25+0.25+0.25</f>
        <v>0.75</v>
      </c>
      <c r="N9" s="293">
        <v>6.3</v>
      </c>
      <c r="P9" s="140" t="s">
        <v>599</v>
      </c>
    </row>
    <row r="10" spans="3:16" ht="18.399999999999999">
      <c r="C10" s="102" t="s">
        <v>64</v>
      </c>
      <c r="D10" s="102">
        <f t="shared" si="4"/>
        <v>3</v>
      </c>
      <c r="E10" s="102">
        <f t="shared" si="5"/>
        <v>3</v>
      </c>
      <c r="F10" s="102">
        <f t="shared" si="0"/>
        <v>1.75</v>
      </c>
      <c r="G10" s="102">
        <f t="shared" si="1"/>
        <v>6</v>
      </c>
      <c r="H10" s="102">
        <f t="shared" si="2"/>
        <v>4.75</v>
      </c>
      <c r="I10" s="102">
        <f>E10+G10</f>
        <v>9</v>
      </c>
      <c r="J10" s="103" t="s">
        <v>600</v>
      </c>
      <c r="K10" s="291">
        <v>3</v>
      </c>
      <c r="L10" s="292">
        <v>3</v>
      </c>
      <c r="M10" s="292">
        <f>0.5+0.5+0.25+0.25+0.25</f>
        <v>1.75</v>
      </c>
      <c r="N10" s="293">
        <v>6</v>
      </c>
      <c r="P10" s="140" t="s">
        <v>599</v>
      </c>
    </row>
    <row r="11" spans="3:16" ht="18.399999999999999">
      <c r="C11" s="102" t="s">
        <v>57</v>
      </c>
      <c r="D11" s="102">
        <f t="shared" si="4"/>
        <v>6.5</v>
      </c>
      <c r="E11" s="102">
        <f t="shared" si="5"/>
        <v>5</v>
      </c>
      <c r="F11" s="102">
        <f t="shared" si="0"/>
        <v>3.5</v>
      </c>
      <c r="G11" s="102">
        <f>N11</f>
        <v>6.2</v>
      </c>
      <c r="H11" s="102">
        <f t="shared" si="2"/>
        <v>10</v>
      </c>
      <c r="I11" s="102">
        <f t="shared" si="3"/>
        <v>11.2</v>
      </c>
      <c r="J11" s="103" t="s">
        <v>601</v>
      </c>
      <c r="K11" s="291">
        <v>6.5</v>
      </c>
      <c r="L11" s="292">
        <v>5</v>
      </c>
      <c r="M11" s="292">
        <f>1+1+0.5+0.5+0.5</f>
        <v>3.5</v>
      </c>
      <c r="N11" s="293">
        <v>6.2</v>
      </c>
      <c r="P11" s="140" t="s">
        <v>599</v>
      </c>
    </row>
    <row r="12" spans="3:16" ht="18.399999999999999">
      <c r="C12" s="102" t="s">
        <v>40</v>
      </c>
      <c r="D12" s="102">
        <f t="shared" si="4"/>
        <v>1</v>
      </c>
      <c r="E12" s="102">
        <f t="shared" si="5"/>
        <v>5</v>
      </c>
      <c r="F12" s="102">
        <f t="shared" si="0"/>
        <v>2.25</v>
      </c>
      <c r="G12" s="102">
        <f t="shared" si="1"/>
        <v>8</v>
      </c>
      <c r="H12" s="102">
        <f t="shared" si="2"/>
        <v>3.25</v>
      </c>
      <c r="I12" s="102">
        <f t="shared" si="3"/>
        <v>13</v>
      </c>
      <c r="J12" s="103" t="s">
        <v>600</v>
      </c>
      <c r="K12" s="291">
        <v>1</v>
      </c>
      <c r="L12" s="292">
        <v>5</v>
      </c>
      <c r="M12" s="292">
        <f>0.25+2</f>
        <v>2.25</v>
      </c>
      <c r="N12" s="293">
        <v>8</v>
      </c>
      <c r="P12" s="140" t="s">
        <v>602</v>
      </c>
    </row>
    <row r="13" spans="3:16" ht="18.399999999999999">
      <c r="C13" s="102" t="s">
        <v>45</v>
      </c>
      <c r="D13" s="102">
        <f t="shared" si="4"/>
        <v>1</v>
      </c>
      <c r="E13" s="102">
        <f t="shared" si="5"/>
        <v>4</v>
      </c>
      <c r="F13" s="102">
        <f t="shared" si="0"/>
        <v>2.25</v>
      </c>
      <c r="G13" s="102">
        <f t="shared" si="1"/>
        <v>4</v>
      </c>
      <c r="H13" s="102">
        <f t="shared" si="2"/>
        <v>3.25</v>
      </c>
      <c r="I13" s="102">
        <f t="shared" si="3"/>
        <v>8</v>
      </c>
      <c r="J13" s="103" t="s">
        <v>603</v>
      </c>
      <c r="K13" s="291">
        <f>0.5+0.5</f>
        <v>1</v>
      </c>
      <c r="L13" s="292">
        <v>4</v>
      </c>
      <c r="M13" s="292">
        <f>0.25+2</f>
        <v>2.25</v>
      </c>
      <c r="N13" s="293">
        <v>4</v>
      </c>
      <c r="P13" s="140" t="s">
        <v>604</v>
      </c>
    </row>
    <row r="14" spans="3:16" ht="18.399999999999999">
      <c r="C14" s="102" t="s">
        <v>48</v>
      </c>
      <c r="D14" s="102">
        <f t="shared" si="4"/>
        <v>5.5</v>
      </c>
      <c r="E14" s="102">
        <f t="shared" si="5"/>
        <v>2</v>
      </c>
      <c r="F14" s="102">
        <f t="shared" si="0"/>
        <v>1.25</v>
      </c>
      <c r="G14" s="102">
        <f t="shared" si="1"/>
        <v>15</v>
      </c>
      <c r="H14" s="102">
        <f t="shared" si="2"/>
        <v>6.75</v>
      </c>
      <c r="I14" s="102">
        <f t="shared" si="3"/>
        <v>17</v>
      </c>
      <c r="J14" s="103" t="s">
        <v>605</v>
      </c>
      <c r="K14" s="291">
        <f>1+0.5+1+1+1+1</f>
        <v>5.5</v>
      </c>
      <c r="L14" s="292">
        <v>2</v>
      </c>
      <c r="M14" s="292">
        <f>0.25+0.5+0.5</f>
        <v>1.25</v>
      </c>
      <c r="N14" s="293">
        <f>0.5+0.5+14</f>
        <v>15</v>
      </c>
      <c r="P14" s="140" t="s">
        <v>606</v>
      </c>
    </row>
    <row r="15" spans="3:16" ht="18.399999999999999">
      <c r="C15" s="102" t="s">
        <v>209</v>
      </c>
      <c r="D15" s="102">
        <f t="shared" si="4"/>
        <v>2.5</v>
      </c>
      <c r="E15" s="102">
        <f t="shared" si="5"/>
        <v>2</v>
      </c>
      <c r="F15" s="102">
        <f t="shared" si="0"/>
        <v>2.75</v>
      </c>
      <c r="G15" s="102">
        <f t="shared" si="1"/>
        <v>8</v>
      </c>
      <c r="H15" s="102">
        <f t="shared" si="2"/>
        <v>5.25</v>
      </c>
      <c r="I15" s="102">
        <f t="shared" si="3"/>
        <v>10</v>
      </c>
      <c r="J15" s="103" t="s">
        <v>601</v>
      </c>
      <c r="K15" s="291">
        <f>0.5+1+1</f>
        <v>2.5</v>
      </c>
      <c r="L15" s="292">
        <f>1+1</f>
        <v>2</v>
      </c>
      <c r="M15" s="292">
        <f>0.25+1+0.5+1</f>
        <v>2.75</v>
      </c>
      <c r="N15" s="293">
        <v>8</v>
      </c>
      <c r="P15" s="140" t="s">
        <v>607</v>
      </c>
    </row>
    <row r="16" spans="3:16" ht="18.399999999999999">
      <c r="C16" s="102" t="s">
        <v>61</v>
      </c>
      <c r="D16" s="102">
        <f t="shared" si="4"/>
        <v>0.85</v>
      </c>
      <c r="E16" s="102">
        <f t="shared" si="5"/>
        <v>0</v>
      </c>
      <c r="F16" s="102">
        <f t="shared" si="0"/>
        <v>0.45</v>
      </c>
      <c r="G16" s="102">
        <f t="shared" si="1"/>
        <v>2</v>
      </c>
      <c r="H16" s="102">
        <f t="shared" si="2"/>
        <v>1.3</v>
      </c>
      <c r="I16" s="102">
        <f t="shared" si="3"/>
        <v>2</v>
      </c>
      <c r="J16" s="103" t="s">
        <v>600</v>
      </c>
      <c r="K16" s="291">
        <f>0.25+0.1+0.5</f>
        <v>0.85</v>
      </c>
      <c r="L16" s="292">
        <v>0</v>
      </c>
      <c r="M16" s="292">
        <f>0.25+0.2+0</f>
        <v>0.45</v>
      </c>
      <c r="N16" s="293">
        <f>0.9+0.4+0.4+0.3</f>
        <v>2</v>
      </c>
      <c r="P16" s="140" t="s">
        <v>596</v>
      </c>
    </row>
    <row r="17" spans="3:16" ht="18.399999999999999">
      <c r="C17" s="102" t="s">
        <v>81</v>
      </c>
      <c r="D17" s="102">
        <f t="shared" si="4"/>
        <v>2</v>
      </c>
      <c r="E17" s="102">
        <f t="shared" si="5"/>
        <v>3</v>
      </c>
      <c r="F17" s="102">
        <f t="shared" si="0"/>
        <v>0.5</v>
      </c>
      <c r="G17" s="102">
        <f t="shared" si="1"/>
        <v>0.5</v>
      </c>
      <c r="H17" s="102">
        <f t="shared" si="2"/>
        <v>2.5</v>
      </c>
      <c r="I17" s="102">
        <f t="shared" si="3"/>
        <v>3.5</v>
      </c>
      <c r="J17" s="103" t="s">
        <v>600</v>
      </c>
      <c r="K17" s="291">
        <f>0.5+0.5+1</f>
        <v>2</v>
      </c>
      <c r="L17" s="292">
        <v>3</v>
      </c>
      <c r="M17" s="292">
        <v>0.5</v>
      </c>
      <c r="N17" s="293">
        <v>0.5</v>
      </c>
      <c r="P17" s="140" t="s">
        <v>608</v>
      </c>
    </row>
    <row r="18" spans="3:16" ht="18.399999999999999">
      <c r="C18" s="102" t="s">
        <v>308</v>
      </c>
      <c r="D18" s="102">
        <v>1</v>
      </c>
      <c r="E18" s="102">
        <v>0</v>
      </c>
      <c r="F18" s="102">
        <v>0</v>
      </c>
      <c r="G18" s="102">
        <v>0</v>
      </c>
      <c r="H18" s="102">
        <v>1</v>
      </c>
      <c r="I18" s="102">
        <v>0</v>
      </c>
      <c r="J18" s="103"/>
      <c r="K18" s="149"/>
      <c r="L18" s="149"/>
      <c r="M18" s="149"/>
      <c r="N18" s="149"/>
      <c r="P18" s="150"/>
    </row>
    <row r="19" spans="3:16" ht="18.399999999999999">
      <c r="C19" s="105" t="s">
        <v>609</v>
      </c>
      <c r="D19" s="105">
        <f t="shared" ref="D19:I19" si="6">SUM(D7:D18)</f>
        <v>30</v>
      </c>
      <c r="E19" s="105">
        <f t="shared" si="6"/>
        <v>32</v>
      </c>
      <c r="F19" s="105">
        <f t="shared" si="6"/>
        <v>19</v>
      </c>
      <c r="G19" s="105">
        <f t="shared" si="6"/>
        <v>68</v>
      </c>
      <c r="H19" s="148">
        <f t="shared" si="6"/>
        <v>49</v>
      </c>
      <c r="I19" s="148">
        <f t="shared" si="6"/>
        <v>100</v>
      </c>
      <c r="J19" s="105"/>
    </row>
    <row r="20" spans="3:16" ht="26.1">
      <c r="C20" s="404" t="s">
        <v>610</v>
      </c>
      <c r="D20" s="404"/>
      <c r="E20" s="404"/>
      <c r="F20" s="404"/>
      <c r="G20" s="404"/>
      <c r="H20" s="404"/>
      <c r="I20" s="404"/>
      <c r="J20" s="404"/>
    </row>
    <row r="21" spans="3:16" ht="18.399999999999999">
      <c r="C21" s="412" t="s">
        <v>27</v>
      </c>
      <c r="D21" s="414" t="s">
        <v>588</v>
      </c>
      <c r="E21" s="414"/>
      <c r="F21" s="414" t="s">
        <v>569</v>
      </c>
      <c r="G21" s="414"/>
      <c r="H21" s="414" t="s">
        <v>8</v>
      </c>
      <c r="I21" s="414"/>
      <c r="J21" s="415" t="s">
        <v>611</v>
      </c>
    </row>
    <row r="22" spans="3:16" ht="18.399999999999999">
      <c r="C22" s="413"/>
      <c r="D22" s="104" t="s">
        <v>591</v>
      </c>
      <c r="E22" s="104" t="s">
        <v>7</v>
      </c>
      <c r="F22" s="104" t="s">
        <v>592</v>
      </c>
      <c r="G22" s="104" t="s">
        <v>7</v>
      </c>
      <c r="H22" s="147" t="s">
        <v>591</v>
      </c>
      <c r="I22" s="147" t="s">
        <v>7</v>
      </c>
      <c r="J22" s="416"/>
    </row>
    <row r="23" spans="3:16" ht="18.399999999999999">
      <c r="C23" s="102" t="s">
        <v>612</v>
      </c>
      <c r="D23" s="102">
        <v>30</v>
      </c>
      <c r="E23" s="102">
        <v>32</v>
      </c>
      <c r="F23" s="102">
        <v>19</v>
      </c>
      <c r="G23" s="102">
        <v>68</v>
      </c>
      <c r="H23" s="102">
        <v>49</v>
      </c>
      <c r="I23" s="102">
        <v>100</v>
      </c>
      <c r="J23" s="151"/>
    </row>
    <row r="24" spans="3:16" ht="18.399999999999999">
      <c r="C24" s="102" t="s">
        <v>613</v>
      </c>
      <c r="D24" s="102">
        <v>0</v>
      </c>
      <c r="E24" s="102">
        <v>0</v>
      </c>
      <c r="F24" s="102">
        <v>0</v>
      </c>
      <c r="G24" s="102">
        <v>0</v>
      </c>
      <c r="H24" s="102">
        <v>4</v>
      </c>
      <c r="I24" s="102">
        <v>4</v>
      </c>
      <c r="J24" s="152" t="s">
        <v>614</v>
      </c>
    </row>
    <row r="25" spans="3:16" ht="18.399999999999999">
      <c r="C25" s="102" t="s">
        <v>615</v>
      </c>
      <c r="D25" s="106">
        <v>0</v>
      </c>
      <c r="E25" s="106">
        <v>0</v>
      </c>
      <c r="F25" s="106">
        <v>0</v>
      </c>
      <c r="G25" s="106">
        <v>0</v>
      </c>
      <c r="H25" s="102">
        <v>2</v>
      </c>
      <c r="I25" s="102">
        <v>1</v>
      </c>
      <c r="J25" s="152" t="s">
        <v>614</v>
      </c>
    </row>
    <row r="26" spans="3:16" ht="18.399999999999999">
      <c r="C26" s="102" t="s">
        <v>293</v>
      </c>
      <c r="D26" s="106">
        <v>0</v>
      </c>
      <c r="E26" s="106">
        <v>0</v>
      </c>
      <c r="F26" s="106">
        <v>0</v>
      </c>
      <c r="G26" s="106">
        <v>0</v>
      </c>
      <c r="H26" s="102">
        <v>3</v>
      </c>
      <c r="I26" s="102">
        <v>1</v>
      </c>
      <c r="J26" s="152" t="s">
        <v>614</v>
      </c>
    </row>
    <row r="27" spans="3:16" ht="18.399999999999999">
      <c r="C27" s="102" t="s">
        <v>570</v>
      </c>
      <c r="D27" s="106">
        <v>0</v>
      </c>
      <c r="E27" s="106">
        <v>0</v>
      </c>
      <c r="F27" s="106">
        <v>1</v>
      </c>
      <c r="G27" s="106">
        <v>11</v>
      </c>
      <c r="H27" s="102">
        <f>D27+F27</f>
        <v>1</v>
      </c>
      <c r="I27" s="102">
        <f>E27+G27</f>
        <v>11</v>
      </c>
      <c r="J27" s="152" t="s">
        <v>614</v>
      </c>
    </row>
    <row r="28" spans="3:16" ht="18.399999999999999">
      <c r="C28" s="102" t="s">
        <v>616</v>
      </c>
      <c r="D28" s="106">
        <v>0</v>
      </c>
      <c r="E28" s="106">
        <v>0</v>
      </c>
      <c r="F28" s="106">
        <v>0</v>
      </c>
      <c r="G28" s="106">
        <v>0</v>
      </c>
      <c r="H28" s="102">
        <v>3</v>
      </c>
      <c r="I28" s="102">
        <v>1</v>
      </c>
      <c r="J28" s="152"/>
    </row>
    <row r="29" spans="3:16" ht="18.399999999999999">
      <c r="C29" s="102" t="s">
        <v>617</v>
      </c>
      <c r="D29" s="106">
        <v>0</v>
      </c>
      <c r="E29" s="106">
        <v>0</v>
      </c>
      <c r="F29" s="106">
        <v>0</v>
      </c>
      <c r="G29" s="106">
        <v>0</v>
      </c>
      <c r="H29" s="102">
        <v>3</v>
      </c>
      <c r="I29" s="102">
        <v>1</v>
      </c>
      <c r="J29" s="152"/>
    </row>
    <row r="30" spans="3:16" ht="18.399999999999999">
      <c r="C30" s="102" t="s">
        <v>618</v>
      </c>
      <c r="D30" s="106">
        <v>0</v>
      </c>
      <c r="E30" s="106">
        <v>0</v>
      </c>
      <c r="F30" s="106">
        <v>0</v>
      </c>
      <c r="G30" s="106">
        <v>0</v>
      </c>
      <c r="H30" s="102">
        <v>6</v>
      </c>
      <c r="I30" s="102">
        <v>0</v>
      </c>
      <c r="J30" s="152"/>
    </row>
    <row r="31" spans="3:16" ht="18.399999999999999">
      <c r="C31" s="102" t="s">
        <v>619</v>
      </c>
      <c r="D31" s="106">
        <v>0</v>
      </c>
      <c r="E31" s="106">
        <v>0</v>
      </c>
      <c r="F31" s="106">
        <v>0</v>
      </c>
      <c r="G31" s="106">
        <v>0</v>
      </c>
      <c r="H31" s="102">
        <v>4</v>
      </c>
      <c r="I31" s="102">
        <v>0</v>
      </c>
      <c r="J31" s="152" t="s">
        <v>614</v>
      </c>
    </row>
    <row r="32" spans="3:16" ht="18.399999999999999">
      <c r="C32" s="105" t="s">
        <v>620</v>
      </c>
      <c r="D32" s="105">
        <f>SUM(D23:D31)</f>
        <v>30</v>
      </c>
      <c r="E32" s="105">
        <f t="shared" ref="E32:I32" si="7">SUM(E23:E31)</f>
        <v>32</v>
      </c>
      <c r="F32" s="105">
        <f t="shared" si="7"/>
        <v>20</v>
      </c>
      <c r="G32" s="105">
        <f t="shared" si="7"/>
        <v>79</v>
      </c>
      <c r="H32" s="147">
        <f>SUM(H23:H31)</f>
        <v>75</v>
      </c>
      <c r="I32" s="147">
        <f t="shared" si="7"/>
        <v>119</v>
      </c>
      <c r="J32" s="107"/>
    </row>
    <row r="37" spans="17:27" ht="18.399999999999999">
      <c r="Q37" s="104" t="s">
        <v>591</v>
      </c>
      <c r="R37" s="128" t="s">
        <v>311</v>
      </c>
      <c r="S37" s="128" t="s">
        <v>621</v>
      </c>
      <c r="T37" s="128" t="s">
        <v>50</v>
      </c>
      <c r="U37" s="128" t="s">
        <v>40</v>
      </c>
      <c r="V37" s="128" t="s">
        <v>400</v>
      </c>
      <c r="W37" s="128" t="s">
        <v>57</v>
      </c>
      <c r="X37" s="128" t="s">
        <v>68</v>
      </c>
      <c r="Y37" s="128" t="s">
        <v>622</v>
      </c>
      <c r="Z37" s="128" t="s">
        <v>623</v>
      </c>
      <c r="AA37" s="128" t="s">
        <v>8</v>
      </c>
    </row>
    <row r="38" spans="17:27" ht="18.399999999999999">
      <c r="Q38" s="104" t="s">
        <v>327</v>
      </c>
      <c r="R38" s="127">
        <v>1</v>
      </c>
      <c r="S38" s="127"/>
      <c r="T38" s="127">
        <v>1</v>
      </c>
      <c r="U38" s="127"/>
      <c r="V38" s="127">
        <v>2</v>
      </c>
      <c r="W38" s="127">
        <v>2</v>
      </c>
      <c r="X38" s="127"/>
      <c r="Y38" s="127"/>
      <c r="Z38" s="127"/>
      <c r="AA38" s="141">
        <f>SUM(R38:Z38)</f>
        <v>6</v>
      </c>
    </row>
    <row r="39" spans="17:27" ht="18.399999999999999">
      <c r="Q39" s="104" t="s">
        <v>310</v>
      </c>
      <c r="R39" s="127">
        <v>1</v>
      </c>
      <c r="S39" s="127">
        <v>1</v>
      </c>
      <c r="T39" s="127">
        <v>1</v>
      </c>
      <c r="U39" s="127"/>
      <c r="V39" s="127">
        <v>2</v>
      </c>
      <c r="W39" s="127">
        <v>3</v>
      </c>
      <c r="X39" s="127"/>
      <c r="Y39" s="127"/>
      <c r="Z39" s="127"/>
      <c r="AA39" s="141">
        <f>SUM(R39:Z39)</f>
        <v>8</v>
      </c>
    </row>
    <row r="40" spans="17:27" ht="18.399999999999999">
      <c r="Q40" s="104" t="s">
        <v>569</v>
      </c>
      <c r="R40" s="127">
        <v>1</v>
      </c>
      <c r="S40" s="127">
        <v>2</v>
      </c>
      <c r="T40" s="127">
        <v>2</v>
      </c>
      <c r="U40" s="127">
        <v>2</v>
      </c>
      <c r="V40" s="127">
        <v>2</v>
      </c>
      <c r="W40" s="127">
        <v>1</v>
      </c>
      <c r="X40" s="127"/>
      <c r="Y40" s="127"/>
      <c r="Z40" s="127"/>
      <c r="AA40" s="141">
        <f>SUM(R40:Z40)</f>
        <v>10</v>
      </c>
    </row>
    <row r="41" spans="17:27">
      <c r="Q41" s="405" t="s">
        <v>287</v>
      </c>
      <c r="R41" s="127" t="s">
        <v>284</v>
      </c>
      <c r="S41" s="127" t="s">
        <v>282</v>
      </c>
      <c r="T41" s="127" t="s">
        <v>284</v>
      </c>
      <c r="U41" s="127" t="s">
        <v>282</v>
      </c>
      <c r="V41" s="127" t="s">
        <v>282</v>
      </c>
      <c r="W41" s="127"/>
      <c r="X41" s="127"/>
      <c r="Y41" s="127"/>
      <c r="Z41" s="127"/>
      <c r="AA41" s="141"/>
    </row>
    <row r="42" spans="17:27">
      <c r="Q42" s="406"/>
      <c r="R42" s="127" t="s">
        <v>624</v>
      </c>
      <c r="S42" s="127" t="s">
        <v>625</v>
      </c>
      <c r="T42" s="127" t="s">
        <v>626</v>
      </c>
      <c r="U42" s="127" t="s">
        <v>336</v>
      </c>
      <c r="V42" s="127" t="s">
        <v>624</v>
      </c>
      <c r="W42" s="127"/>
      <c r="X42" s="127"/>
      <c r="Y42" s="127"/>
      <c r="Z42" s="127"/>
      <c r="AA42" s="141"/>
    </row>
    <row r="56" spans="3:9">
      <c r="C56" t="s">
        <v>627</v>
      </c>
      <c r="D56">
        <v>38</v>
      </c>
    </row>
    <row r="57" spans="3:9">
      <c r="C57" t="s">
        <v>628</v>
      </c>
      <c r="D57">
        <v>79</v>
      </c>
    </row>
    <row r="58" spans="3:9">
      <c r="C58" t="s">
        <v>8</v>
      </c>
      <c r="D58">
        <v>118</v>
      </c>
    </row>
    <row r="63" spans="3:9" ht="20.65">
      <c r="C63" s="411" t="s">
        <v>469</v>
      </c>
      <c r="D63" s="411"/>
      <c r="E63" s="93"/>
      <c r="F63" s="93"/>
      <c r="G63" s="407" t="s">
        <v>629</v>
      </c>
      <c r="H63" s="407"/>
      <c r="I63" s="407"/>
    </row>
    <row r="64" spans="3:9" ht="20.65">
      <c r="C64" s="103" t="s">
        <v>327</v>
      </c>
      <c r="D64" s="103">
        <v>9</v>
      </c>
      <c r="E64" s="408">
        <f>SUM(D64:D66)</f>
        <v>30</v>
      </c>
      <c r="F64" s="93"/>
      <c r="G64" s="103" t="s">
        <v>327</v>
      </c>
      <c r="H64" s="103">
        <v>8</v>
      </c>
      <c r="I64" s="103"/>
    </row>
    <row r="65" spans="3:9" ht="20.65">
      <c r="C65" s="103" t="s">
        <v>310</v>
      </c>
      <c r="D65" s="103">
        <v>15</v>
      </c>
      <c r="E65" s="409"/>
      <c r="F65" s="93"/>
      <c r="G65" s="103" t="s">
        <v>310</v>
      </c>
      <c r="H65" s="103">
        <v>13</v>
      </c>
      <c r="I65" s="103"/>
    </row>
    <row r="66" spans="3:9" ht="20.65">
      <c r="C66" s="103" t="s">
        <v>630</v>
      </c>
      <c r="D66" s="103">
        <v>6</v>
      </c>
      <c r="E66" s="410"/>
      <c r="F66" s="93"/>
      <c r="G66" s="103" t="s">
        <v>631</v>
      </c>
      <c r="H66" s="103">
        <v>3</v>
      </c>
      <c r="I66" s="103"/>
    </row>
    <row r="67" spans="3:9" ht="20.65">
      <c r="C67" s="103" t="s">
        <v>569</v>
      </c>
      <c r="D67" s="103">
        <v>20</v>
      </c>
      <c r="E67" s="103"/>
      <c r="F67" s="93"/>
      <c r="G67" s="145" t="s">
        <v>8</v>
      </c>
      <c r="H67" s="145">
        <f>SUM(H64:H66)</f>
        <v>24</v>
      </c>
      <c r="I67" s="408">
        <f>SUM(H67,H68)</f>
        <v>30</v>
      </c>
    </row>
    <row r="68" spans="3:9" ht="20.65">
      <c r="C68" s="103"/>
      <c r="D68" s="103"/>
      <c r="E68" s="103"/>
      <c r="F68" s="93"/>
      <c r="G68" s="103" t="s">
        <v>287</v>
      </c>
      <c r="H68" s="103">
        <v>6</v>
      </c>
      <c r="I68" s="410"/>
    </row>
    <row r="69" spans="3:9" ht="20.65">
      <c r="C69" s="93"/>
      <c r="D69" s="93"/>
      <c r="E69" s="93"/>
      <c r="F69" s="93"/>
    </row>
    <row r="70" spans="3:9" ht="20.65">
      <c r="C70" s="93"/>
      <c r="D70" s="93"/>
      <c r="E70" s="93"/>
      <c r="F70" s="93"/>
    </row>
    <row r="71" spans="3:9" ht="20.65">
      <c r="C71" s="93"/>
      <c r="D71" s="93"/>
      <c r="E71" s="93"/>
      <c r="F71" s="93"/>
      <c r="G71" s="103" t="s">
        <v>569</v>
      </c>
      <c r="H71" s="103">
        <v>16</v>
      </c>
    </row>
    <row r="72" spans="3:9" ht="20.65">
      <c r="C72" s="93"/>
      <c r="D72" s="93"/>
      <c r="E72" s="93"/>
      <c r="F72" s="93"/>
      <c r="G72" s="103" t="s">
        <v>632</v>
      </c>
      <c r="H72" s="103">
        <v>3</v>
      </c>
    </row>
    <row r="73" spans="3:9" ht="20.65">
      <c r="C73" s="93"/>
      <c r="D73" s="93"/>
      <c r="E73" s="93"/>
      <c r="F73" s="93"/>
      <c r="G73" s="145" t="s">
        <v>8</v>
      </c>
      <c r="H73" s="145">
        <f>SUM(H71:H72)</f>
        <v>19</v>
      </c>
    </row>
  </sheetData>
  <mergeCells count="20">
    <mergeCell ref="P5:P6"/>
    <mergeCell ref="C4:J4"/>
    <mergeCell ref="K5:L5"/>
    <mergeCell ref="M5:N5"/>
    <mergeCell ref="D5:E5"/>
    <mergeCell ref="H5:I5"/>
    <mergeCell ref="F5:G5"/>
    <mergeCell ref="C5:C6"/>
    <mergeCell ref="J5:J6"/>
    <mergeCell ref="C20:J20"/>
    <mergeCell ref="Q41:Q42"/>
    <mergeCell ref="G63:I63"/>
    <mergeCell ref="E64:E66"/>
    <mergeCell ref="I67:I68"/>
    <mergeCell ref="C63:D63"/>
    <mergeCell ref="C21:C22"/>
    <mergeCell ref="D21:E21"/>
    <mergeCell ref="F21:G21"/>
    <mergeCell ref="H21:I21"/>
    <mergeCell ref="J21:J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948A-2707-4970-8F69-C1AB37EED7EB}">
  <dimension ref="A3:C39"/>
  <sheetViews>
    <sheetView workbookViewId="0">
      <selection activeCell="T40" sqref="T40"/>
    </sheetView>
  </sheetViews>
  <sheetFormatPr defaultColWidth="8.85546875" defaultRowHeight="14.65"/>
  <cols>
    <col min="1" max="1" width="18" bestFit="1" customWidth="1"/>
    <col min="2" max="2" width="13.42578125" bestFit="1" customWidth="1"/>
    <col min="3" max="3" width="10" bestFit="1" customWidth="1"/>
    <col min="4" max="4" width="13.42578125" bestFit="1" customWidth="1"/>
    <col min="5" max="5" width="10" bestFit="1" customWidth="1"/>
    <col min="6" max="6" width="6.28515625" bestFit="1" customWidth="1"/>
    <col min="7" max="7" width="8.140625" bestFit="1" customWidth="1"/>
    <col min="8" max="8" width="11.140625" bestFit="1" customWidth="1"/>
    <col min="9" max="9" width="10.7109375" bestFit="1" customWidth="1"/>
    <col min="10" max="10" width="4.42578125" bestFit="1" customWidth="1"/>
    <col min="11" max="11" width="7.42578125" bestFit="1" customWidth="1"/>
    <col min="12" max="12" width="5.42578125" bestFit="1" customWidth="1"/>
    <col min="13" max="13" width="13" bestFit="1" customWidth="1"/>
    <col min="14" max="14" width="3.140625" bestFit="1" customWidth="1"/>
    <col min="15" max="15" width="3.42578125" bestFit="1" customWidth="1"/>
    <col min="16" max="16" width="12" bestFit="1" customWidth="1"/>
    <col min="17" max="17" width="10.28515625" bestFit="1" customWidth="1"/>
    <col min="18" max="18" width="5.85546875" bestFit="1" customWidth="1"/>
    <col min="19" max="19" width="5" bestFit="1" customWidth="1"/>
    <col min="20" max="20" width="12.140625" bestFit="1" customWidth="1"/>
    <col min="21" max="21" width="7.42578125" bestFit="1" customWidth="1"/>
    <col min="22" max="22" width="11.7109375" bestFit="1" customWidth="1"/>
  </cols>
  <sheetData>
    <row r="3" spans="1:3">
      <c r="A3" s="86" t="s">
        <v>633</v>
      </c>
      <c r="B3" s="86" t="s">
        <v>2</v>
      </c>
    </row>
    <row r="4" spans="1:3">
      <c r="A4" s="86" t="s">
        <v>3</v>
      </c>
      <c r="B4" t="s">
        <v>11</v>
      </c>
      <c r="C4" t="s">
        <v>634</v>
      </c>
    </row>
    <row r="5" spans="1:3">
      <c r="A5" t="s">
        <v>81</v>
      </c>
      <c r="B5">
        <v>1</v>
      </c>
      <c r="C5">
        <v>1</v>
      </c>
    </row>
    <row r="6" spans="1:3">
      <c r="A6" t="s">
        <v>302</v>
      </c>
      <c r="B6">
        <v>1</v>
      </c>
      <c r="C6">
        <v>1</v>
      </c>
    </row>
    <row r="7" spans="1:3">
      <c r="A7" t="s">
        <v>367</v>
      </c>
      <c r="B7">
        <v>1</v>
      </c>
      <c r="C7">
        <v>1</v>
      </c>
    </row>
    <row r="8" spans="1:3">
      <c r="A8" t="s">
        <v>40</v>
      </c>
      <c r="B8">
        <v>1</v>
      </c>
      <c r="C8">
        <v>1</v>
      </c>
    </row>
    <row r="9" spans="1:3">
      <c r="A9" t="s">
        <v>437</v>
      </c>
      <c r="B9">
        <v>2</v>
      </c>
      <c r="C9">
        <v>2</v>
      </c>
    </row>
    <row r="10" spans="1:3">
      <c r="A10" t="s">
        <v>57</v>
      </c>
      <c r="B10">
        <v>3</v>
      </c>
      <c r="C10">
        <v>3</v>
      </c>
    </row>
    <row r="11" spans="1:3">
      <c r="A11" t="s">
        <v>400</v>
      </c>
      <c r="B11">
        <v>4</v>
      </c>
      <c r="C11">
        <v>4</v>
      </c>
    </row>
    <row r="12" spans="1:3">
      <c r="A12" t="s">
        <v>403</v>
      </c>
      <c r="B12">
        <v>1</v>
      </c>
      <c r="C12">
        <v>1</v>
      </c>
    </row>
    <row r="13" spans="1:3">
      <c r="A13" t="s">
        <v>50</v>
      </c>
      <c r="B13">
        <v>3</v>
      </c>
      <c r="C13">
        <v>3</v>
      </c>
    </row>
    <row r="14" spans="1:3">
      <c r="A14" t="s">
        <v>68</v>
      </c>
      <c r="B14">
        <v>3</v>
      </c>
      <c r="C14">
        <v>3</v>
      </c>
    </row>
    <row r="15" spans="1:3">
      <c r="A15" t="s">
        <v>311</v>
      </c>
      <c r="B15">
        <v>2</v>
      </c>
      <c r="C15">
        <v>2</v>
      </c>
    </row>
    <row r="16" spans="1:3">
      <c r="A16" t="s">
        <v>308</v>
      </c>
      <c r="B16">
        <v>2</v>
      </c>
      <c r="C16">
        <v>2</v>
      </c>
    </row>
    <row r="17" spans="1:3">
      <c r="A17" t="s">
        <v>299</v>
      </c>
      <c r="B17">
        <v>6</v>
      </c>
      <c r="C17">
        <v>6</v>
      </c>
    </row>
    <row r="18" spans="1:3">
      <c r="A18" t="s">
        <v>634</v>
      </c>
      <c r="B18">
        <v>30</v>
      </c>
      <c r="C18">
        <v>30</v>
      </c>
    </row>
    <row r="36" spans="1:3">
      <c r="A36" s="86" t="s">
        <v>633</v>
      </c>
      <c r="B36" s="86" t="s">
        <v>2</v>
      </c>
    </row>
    <row r="37" spans="1:3">
      <c r="A37" s="86" t="s">
        <v>27</v>
      </c>
      <c r="B37" t="s">
        <v>7</v>
      </c>
      <c r="C37" t="s">
        <v>634</v>
      </c>
    </row>
    <row r="38" spans="1:3">
      <c r="A38" t="s">
        <v>37</v>
      </c>
      <c r="B38">
        <v>10</v>
      </c>
      <c r="C38">
        <v>10</v>
      </c>
    </row>
    <row r="39" spans="1:3">
      <c r="A39" t="s">
        <v>634</v>
      </c>
      <c r="B39">
        <v>10</v>
      </c>
      <c r="C39">
        <v>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34ED-559C-4A96-A297-B6D650C79C55}">
  <dimension ref="A1:U1182"/>
  <sheetViews>
    <sheetView workbookViewId="0"/>
  </sheetViews>
  <sheetFormatPr defaultRowHeight="14.65"/>
  <sheetData>
    <row r="1" spans="1:21">
      <c r="B1" t="s">
        <v>635</v>
      </c>
    </row>
    <row r="2" spans="1:21">
      <c r="A2" s="421" t="s">
        <v>469</v>
      </c>
      <c r="B2" s="422" t="s">
        <v>636</v>
      </c>
      <c r="C2" s="163" t="s">
        <v>637</v>
      </c>
    </row>
    <row r="3" spans="1:21" ht="15" customHeight="1">
      <c r="A3" s="421"/>
      <c r="B3" s="422"/>
      <c r="C3" s="423" t="s">
        <v>298</v>
      </c>
      <c r="D3" s="163" t="s">
        <v>638</v>
      </c>
    </row>
    <row r="4" spans="1:21" ht="21" customHeight="1">
      <c r="A4" s="421"/>
      <c r="B4" s="422"/>
      <c r="C4" s="423"/>
      <c r="D4" s="185" t="s">
        <v>312</v>
      </c>
    </row>
    <row r="5" spans="1:21" ht="23.25" customHeight="1">
      <c r="A5" s="421"/>
      <c r="B5" s="422"/>
      <c r="C5" s="423"/>
      <c r="D5" s="424" t="s">
        <v>317</v>
      </c>
      <c r="E5" s="163" t="s">
        <v>639</v>
      </c>
      <c r="Q5" s="159" t="s">
        <v>640</v>
      </c>
    </row>
    <row r="6" spans="1:21" ht="21" customHeight="1">
      <c r="A6" s="421"/>
      <c r="B6" s="422"/>
      <c r="C6" s="423"/>
      <c r="D6" s="425"/>
      <c r="E6" s="206" t="s">
        <v>323</v>
      </c>
      <c r="Q6" t="s">
        <v>641</v>
      </c>
    </row>
    <row r="7" spans="1:21" ht="21" customHeight="1">
      <c r="A7" s="421"/>
      <c r="B7" s="422"/>
      <c r="C7" s="423"/>
      <c r="D7" s="425"/>
      <c r="E7" s="206" t="s">
        <v>326</v>
      </c>
    </row>
    <row r="8" spans="1:21" ht="21" customHeight="1">
      <c r="A8" s="421"/>
      <c r="B8" s="422"/>
      <c r="C8" s="423"/>
      <c r="D8" s="426"/>
      <c r="E8" s="206" t="s">
        <v>328</v>
      </c>
      <c r="Q8" s="160" t="s">
        <v>1</v>
      </c>
      <c r="R8" s="160" t="s">
        <v>0</v>
      </c>
      <c r="S8" s="160" t="s">
        <v>2</v>
      </c>
      <c r="T8" s="160" t="s">
        <v>642</v>
      </c>
      <c r="U8" s="160" t="s">
        <v>3</v>
      </c>
    </row>
    <row r="9" spans="1:21" ht="21" customHeight="1">
      <c r="A9" s="421"/>
      <c r="B9" s="422"/>
      <c r="C9" s="423"/>
      <c r="D9" s="206" t="s">
        <v>329</v>
      </c>
      <c r="Q9" s="160"/>
      <c r="R9" s="160"/>
      <c r="S9" s="160"/>
      <c r="T9" s="160"/>
      <c r="U9" s="160"/>
    </row>
    <row r="10" spans="1:21" ht="21" customHeight="1">
      <c r="A10" s="421"/>
      <c r="B10" s="422"/>
      <c r="C10" s="423"/>
      <c r="D10" s="206" t="s">
        <v>331</v>
      </c>
      <c r="Q10" t="s">
        <v>290</v>
      </c>
      <c r="R10" s="161" t="s">
        <v>643</v>
      </c>
      <c r="S10" t="s">
        <v>11</v>
      </c>
      <c r="T10" t="s">
        <v>293</v>
      </c>
      <c r="U10" t="s">
        <v>293</v>
      </c>
    </row>
    <row r="11" spans="1:21" ht="21" customHeight="1">
      <c r="A11" s="421"/>
      <c r="B11" s="422"/>
      <c r="C11" s="423"/>
      <c r="D11" s="206" t="s">
        <v>333</v>
      </c>
      <c r="Q11" t="s">
        <v>291</v>
      </c>
      <c r="R11" t="s">
        <v>290</v>
      </c>
      <c r="S11" t="s">
        <v>11</v>
      </c>
      <c r="T11" t="s">
        <v>293</v>
      </c>
      <c r="U11" t="s">
        <v>293</v>
      </c>
    </row>
    <row r="12" spans="1:21" ht="21" customHeight="1">
      <c r="A12" s="421"/>
      <c r="B12" s="422"/>
      <c r="C12" s="423"/>
      <c r="D12" s="185" t="s">
        <v>319</v>
      </c>
      <c r="P12" t="s">
        <v>295</v>
      </c>
      <c r="Q12" t="s">
        <v>291</v>
      </c>
      <c r="R12" t="s">
        <v>11</v>
      </c>
      <c r="S12" t="s">
        <v>293</v>
      </c>
      <c r="T12" t="s">
        <v>293</v>
      </c>
    </row>
    <row r="13" spans="1:21" ht="21" customHeight="1">
      <c r="A13" s="421"/>
      <c r="B13" s="422"/>
      <c r="C13" s="423"/>
      <c r="D13" s="185" t="s">
        <v>321</v>
      </c>
      <c r="P13" t="s">
        <v>296</v>
      </c>
      <c r="Q13" t="s">
        <v>290</v>
      </c>
      <c r="R13" t="s">
        <v>11</v>
      </c>
      <c r="S13" t="s">
        <v>293</v>
      </c>
      <c r="T13" t="s">
        <v>293</v>
      </c>
    </row>
    <row r="14" spans="1:21" ht="21" customHeight="1">
      <c r="A14" s="421"/>
      <c r="B14" s="422"/>
      <c r="C14" s="423"/>
      <c r="D14" s="185" t="s">
        <v>322</v>
      </c>
      <c r="P14" t="s">
        <v>297</v>
      </c>
      <c r="Q14" s="161" t="s">
        <v>644</v>
      </c>
      <c r="R14" t="s">
        <v>11</v>
      </c>
      <c r="T14" t="s">
        <v>299</v>
      </c>
    </row>
    <row r="15" spans="1:21" ht="15" customHeight="1">
      <c r="A15" s="421"/>
      <c r="B15" s="422"/>
      <c r="C15" s="427" t="s">
        <v>301</v>
      </c>
      <c r="D15" s="163" t="s">
        <v>645</v>
      </c>
      <c r="Q15" t="s">
        <v>298</v>
      </c>
      <c r="R15" t="s">
        <v>297</v>
      </c>
      <c r="S15" t="s">
        <v>11</v>
      </c>
      <c r="U15" t="s">
        <v>299</v>
      </c>
    </row>
    <row r="16" spans="1:21" ht="21" customHeight="1">
      <c r="A16" s="421"/>
      <c r="B16" s="422"/>
      <c r="C16" s="428"/>
      <c r="D16" s="182" t="s">
        <v>360</v>
      </c>
      <c r="Q16" t="s">
        <v>301</v>
      </c>
      <c r="R16" t="s">
        <v>297</v>
      </c>
      <c r="S16" t="s">
        <v>11</v>
      </c>
      <c r="U16" t="s">
        <v>302</v>
      </c>
    </row>
    <row r="17" spans="1:21" ht="21" customHeight="1">
      <c r="A17" s="421"/>
      <c r="B17" s="422"/>
      <c r="C17" s="428"/>
      <c r="D17" s="182" t="s">
        <v>363</v>
      </c>
      <c r="Q17" t="s">
        <v>303</v>
      </c>
      <c r="R17" t="s">
        <v>297</v>
      </c>
      <c r="S17" t="s">
        <v>11</v>
      </c>
      <c r="U17" t="s">
        <v>40</v>
      </c>
    </row>
    <row r="18" spans="1:21" ht="21" customHeight="1">
      <c r="A18" s="421"/>
      <c r="B18" s="422"/>
      <c r="C18" s="428"/>
      <c r="D18" s="182" t="s">
        <v>364</v>
      </c>
      <c r="Q18" t="s">
        <v>304</v>
      </c>
      <c r="R18" t="s">
        <v>297</v>
      </c>
      <c r="S18" t="s">
        <v>11</v>
      </c>
      <c r="U18" t="s">
        <v>50</v>
      </c>
    </row>
    <row r="19" spans="1:21" ht="21" customHeight="1">
      <c r="A19" s="421"/>
      <c r="B19" s="422"/>
      <c r="C19" s="428"/>
      <c r="D19" s="182" t="s">
        <v>366</v>
      </c>
      <c r="Q19" t="s">
        <v>305</v>
      </c>
      <c r="R19" t="s">
        <v>297</v>
      </c>
      <c r="S19" t="s">
        <v>11</v>
      </c>
      <c r="U19" t="s">
        <v>306</v>
      </c>
    </row>
    <row r="20" spans="1:21" ht="21" customHeight="1">
      <c r="A20" s="421"/>
      <c r="B20" s="422"/>
      <c r="C20" s="428"/>
      <c r="D20" s="182" t="s">
        <v>368</v>
      </c>
      <c r="Q20" t="s">
        <v>307</v>
      </c>
      <c r="R20" t="s">
        <v>297</v>
      </c>
      <c r="S20" t="s">
        <v>11</v>
      </c>
      <c r="U20" t="s">
        <v>308</v>
      </c>
    </row>
    <row r="21" spans="1:21" ht="21" customHeight="1">
      <c r="A21" s="421"/>
      <c r="B21" s="422"/>
      <c r="C21" s="428"/>
      <c r="D21" s="182" t="s">
        <v>370</v>
      </c>
      <c r="Q21" t="s">
        <v>309</v>
      </c>
      <c r="R21" t="s">
        <v>297</v>
      </c>
      <c r="S21" t="s">
        <v>7</v>
      </c>
      <c r="T21" t="s">
        <v>310</v>
      </c>
      <c r="U21" t="s">
        <v>311</v>
      </c>
    </row>
    <row r="22" spans="1:21" ht="21" customHeight="1">
      <c r="A22" s="421"/>
      <c r="B22" s="422"/>
      <c r="C22" s="428"/>
      <c r="D22" s="182" t="s">
        <v>372</v>
      </c>
    </row>
    <row r="23" spans="1:21" ht="21" customHeight="1">
      <c r="A23" s="421"/>
      <c r="B23" s="422"/>
      <c r="C23" s="428"/>
      <c r="D23" s="182" t="s">
        <v>374</v>
      </c>
    </row>
    <row r="24" spans="1:21" ht="21" customHeight="1">
      <c r="A24" s="421"/>
      <c r="B24" s="422"/>
      <c r="C24" s="428"/>
      <c r="D24" s="182" t="s">
        <v>376</v>
      </c>
    </row>
    <row r="25" spans="1:21" ht="21" customHeight="1">
      <c r="A25" s="421"/>
      <c r="B25" s="422"/>
      <c r="C25" s="429"/>
      <c r="D25" s="182" t="s">
        <v>378</v>
      </c>
    </row>
    <row r="26" spans="1:21" ht="15" customHeight="1">
      <c r="A26" s="421"/>
      <c r="B26" s="422"/>
      <c r="C26" s="427" t="s">
        <v>303</v>
      </c>
      <c r="D26" s="163" t="s">
        <v>646</v>
      </c>
    </row>
    <row r="27" spans="1:21" ht="21" customHeight="1">
      <c r="A27" s="421"/>
      <c r="B27" s="422"/>
      <c r="C27" s="428"/>
      <c r="D27" s="180" t="s">
        <v>337</v>
      </c>
    </row>
    <row r="28" spans="1:21" ht="21" customHeight="1">
      <c r="A28" s="421"/>
      <c r="B28" s="422"/>
      <c r="C28" s="428"/>
      <c r="D28" s="180" t="s">
        <v>340</v>
      </c>
    </row>
    <row r="29" spans="1:21" ht="21" customHeight="1">
      <c r="A29" s="421"/>
      <c r="B29" s="422"/>
      <c r="C29" s="428"/>
      <c r="D29" s="180" t="s">
        <v>342</v>
      </c>
    </row>
    <row r="30" spans="1:21" ht="21" customHeight="1">
      <c r="A30" s="421"/>
      <c r="B30" s="422"/>
      <c r="C30" s="429"/>
      <c r="D30" s="180" t="s">
        <v>344</v>
      </c>
    </row>
    <row r="31" spans="1:21" ht="15" customHeight="1">
      <c r="A31" s="421"/>
      <c r="B31" s="422"/>
      <c r="C31" s="427" t="s">
        <v>304</v>
      </c>
      <c r="D31" s="163" t="s">
        <v>647</v>
      </c>
    </row>
    <row r="32" spans="1:21" ht="21" customHeight="1">
      <c r="A32" s="421"/>
      <c r="B32" s="422"/>
      <c r="C32" s="428"/>
      <c r="D32" s="180" t="s">
        <v>346</v>
      </c>
    </row>
    <row r="33" spans="1:4" ht="21" customHeight="1">
      <c r="A33" s="421"/>
      <c r="B33" s="422"/>
      <c r="C33" s="428"/>
      <c r="D33" s="207" t="s">
        <v>348</v>
      </c>
    </row>
    <row r="34" spans="1:4" ht="21" customHeight="1">
      <c r="A34" s="421"/>
      <c r="B34" s="422"/>
      <c r="C34" s="428"/>
      <c r="D34" s="207" t="s">
        <v>350</v>
      </c>
    </row>
    <row r="35" spans="1:4" ht="21" customHeight="1">
      <c r="A35" s="421"/>
      <c r="B35" s="422"/>
      <c r="C35" s="428"/>
      <c r="D35" s="207" t="s">
        <v>353</v>
      </c>
    </row>
    <row r="36" spans="1:4" ht="21" customHeight="1">
      <c r="A36" s="421"/>
      <c r="B36" s="422"/>
      <c r="C36" s="429"/>
      <c r="D36" s="207" t="s">
        <v>356</v>
      </c>
    </row>
    <row r="37" spans="1:4" ht="15" customHeight="1">
      <c r="A37" s="421"/>
      <c r="B37" s="422"/>
      <c r="C37" s="427" t="s">
        <v>305</v>
      </c>
      <c r="D37" s="163" t="s">
        <v>648</v>
      </c>
    </row>
    <row r="38" spans="1:4" ht="21" customHeight="1">
      <c r="A38" s="421"/>
      <c r="B38" s="422"/>
      <c r="C38" s="428"/>
      <c r="D38" s="183" t="s">
        <v>379</v>
      </c>
    </row>
    <row r="39" spans="1:4" ht="21" customHeight="1">
      <c r="A39" s="421"/>
      <c r="B39" s="422"/>
      <c r="C39" s="428"/>
      <c r="D39" s="183" t="s">
        <v>381</v>
      </c>
    </row>
    <row r="40" spans="1:4" ht="15" customHeight="1">
      <c r="A40" s="421"/>
      <c r="B40" s="422"/>
      <c r="C40" s="427" t="s">
        <v>307</v>
      </c>
      <c r="D40" s="163" t="s">
        <v>649</v>
      </c>
    </row>
    <row r="41" spans="1:4" ht="21" customHeight="1">
      <c r="A41" s="421"/>
      <c r="B41" s="422"/>
      <c r="C41" s="428"/>
      <c r="D41" s="179" t="s">
        <v>391</v>
      </c>
    </row>
    <row r="42" spans="1:4" ht="21" customHeight="1">
      <c r="A42" s="421"/>
      <c r="B42" s="422"/>
      <c r="C42" s="428"/>
      <c r="D42" s="179" t="s">
        <v>394</v>
      </c>
    </row>
    <row r="43" spans="1:4" ht="21" customHeight="1">
      <c r="A43" s="421"/>
      <c r="B43" s="422"/>
      <c r="C43" s="429"/>
      <c r="D43" s="184" t="s">
        <v>397</v>
      </c>
    </row>
    <row r="44" spans="1:4" ht="21" customHeight="1">
      <c r="A44" s="421"/>
      <c r="B44" s="422"/>
      <c r="C44" s="179" t="s">
        <v>309</v>
      </c>
      <c r="D44" t="s">
        <v>650</v>
      </c>
    </row>
    <row r="45" spans="1:4">
      <c r="A45" s="421"/>
      <c r="B45" s="422" t="s">
        <v>398</v>
      </c>
      <c r="C45" s="163" t="s">
        <v>651</v>
      </c>
    </row>
    <row r="46" spans="1:4" ht="21" customHeight="1">
      <c r="A46" s="421"/>
      <c r="B46" s="422"/>
      <c r="C46" s="185" t="s">
        <v>399</v>
      </c>
      <c r="D46" t="s">
        <v>650</v>
      </c>
    </row>
    <row r="47" spans="1:4" ht="15" customHeight="1">
      <c r="A47" s="421"/>
      <c r="B47" s="422"/>
      <c r="C47" s="424" t="s">
        <v>402</v>
      </c>
      <c r="D47" s="163" t="s">
        <v>652</v>
      </c>
    </row>
    <row r="48" spans="1:4" ht="21" customHeight="1">
      <c r="A48" s="421"/>
      <c r="B48" s="422"/>
      <c r="C48" s="425"/>
      <c r="D48" s="208" t="s">
        <v>406</v>
      </c>
    </row>
    <row r="49" spans="1:4" ht="21" customHeight="1">
      <c r="A49" s="421"/>
      <c r="B49" s="422"/>
      <c r="C49" s="425"/>
      <c r="D49" s="180" t="s">
        <v>409</v>
      </c>
    </row>
    <row r="50" spans="1:4" ht="21" customHeight="1">
      <c r="A50" s="421"/>
      <c r="B50" s="422"/>
      <c r="C50" s="425"/>
      <c r="D50" s="180" t="s">
        <v>410</v>
      </c>
    </row>
    <row r="51" spans="1:4" ht="21" customHeight="1">
      <c r="A51" s="421"/>
      <c r="B51" s="422"/>
      <c r="C51" s="425"/>
      <c r="D51" s="180" t="s">
        <v>411</v>
      </c>
    </row>
    <row r="52" spans="1:4" ht="21" customHeight="1">
      <c r="A52" s="421"/>
      <c r="B52" s="422"/>
      <c r="C52" s="425"/>
      <c r="D52" s="180" t="s">
        <v>413</v>
      </c>
    </row>
    <row r="53" spans="1:4" ht="21" customHeight="1">
      <c r="A53" s="421"/>
      <c r="B53" s="422"/>
      <c r="C53" s="425"/>
      <c r="D53" s="180" t="s">
        <v>414</v>
      </c>
    </row>
    <row r="54" spans="1:4" ht="21" customHeight="1">
      <c r="A54" s="421"/>
      <c r="B54" s="422"/>
      <c r="C54" s="425"/>
      <c r="D54" s="180" t="s">
        <v>415</v>
      </c>
    </row>
    <row r="55" spans="1:4" ht="21" customHeight="1">
      <c r="A55" s="421"/>
      <c r="B55" s="422"/>
      <c r="C55" s="425"/>
      <c r="D55" s="180" t="s">
        <v>417</v>
      </c>
    </row>
    <row r="56" spans="1:4" ht="21" customHeight="1">
      <c r="A56" s="421"/>
      <c r="B56" s="422"/>
      <c r="C56" s="426"/>
      <c r="D56" s="180" t="s">
        <v>419</v>
      </c>
    </row>
    <row r="57" spans="1:4" ht="21" customHeight="1">
      <c r="A57" s="421"/>
      <c r="B57" s="422"/>
      <c r="C57" s="185" t="s">
        <v>404</v>
      </c>
      <c r="D57" s="163" t="s">
        <v>653</v>
      </c>
    </row>
    <row r="58" spans="1:4" ht="21" customHeight="1">
      <c r="A58" s="421"/>
      <c r="B58" s="422"/>
      <c r="C58" s="73"/>
      <c r="D58" s="187" t="s">
        <v>420</v>
      </c>
    </row>
    <row r="59" spans="1:4" ht="21" customHeight="1">
      <c r="A59" s="421"/>
      <c r="B59" s="422"/>
      <c r="C59" s="73"/>
      <c r="D59" s="187" t="s">
        <v>422</v>
      </c>
    </row>
    <row r="60" spans="1:4" ht="21" customHeight="1">
      <c r="A60" s="421"/>
      <c r="B60" s="422"/>
      <c r="C60" s="73"/>
      <c r="D60" s="187" t="s">
        <v>425</v>
      </c>
    </row>
    <row r="61" spans="1:4" ht="21" customHeight="1">
      <c r="A61" s="421"/>
      <c r="B61" s="422"/>
      <c r="C61" s="73"/>
      <c r="D61" s="187" t="s">
        <v>426</v>
      </c>
    </row>
    <row r="62" spans="1:4" ht="21" customHeight="1">
      <c r="A62" s="421"/>
      <c r="B62" s="422"/>
      <c r="C62" s="73"/>
      <c r="D62" s="187" t="s">
        <v>427</v>
      </c>
    </row>
    <row r="63" spans="1:4" ht="21" customHeight="1">
      <c r="A63" s="421"/>
      <c r="B63" s="422"/>
      <c r="C63" s="73"/>
      <c r="D63" s="187" t="s">
        <v>428</v>
      </c>
    </row>
    <row r="64" spans="1:4" ht="21" customHeight="1">
      <c r="A64" s="421"/>
      <c r="B64" s="422"/>
      <c r="C64" s="73"/>
      <c r="D64" s="187" t="s">
        <v>430</v>
      </c>
    </row>
    <row r="65" spans="1:4" ht="21" customHeight="1">
      <c r="A65" s="421"/>
      <c r="B65" s="422"/>
      <c r="C65" s="73"/>
      <c r="D65" s="187" t="s">
        <v>432</v>
      </c>
    </row>
    <row r="66" spans="1:4" ht="21" customHeight="1">
      <c r="A66" s="421"/>
      <c r="B66" s="422"/>
      <c r="C66" s="73"/>
      <c r="D66" s="187" t="s">
        <v>433</v>
      </c>
    </row>
    <row r="67" spans="1:4" ht="21" customHeight="1">
      <c r="A67" s="421"/>
      <c r="B67" s="422"/>
      <c r="C67" s="73"/>
      <c r="D67" s="187" t="s">
        <v>435</v>
      </c>
    </row>
    <row r="68" spans="1:4" ht="21" customHeight="1">
      <c r="A68" s="421"/>
      <c r="B68" s="422"/>
      <c r="C68" s="73"/>
      <c r="D68" s="187" t="s">
        <v>436</v>
      </c>
    </row>
    <row r="69" spans="1:4" ht="21" customHeight="1">
      <c r="A69" s="421"/>
      <c r="B69" s="422"/>
      <c r="C69" s="73"/>
      <c r="D69" s="187" t="s">
        <v>438</v>
      </c>
    </row>
    <row r="70" spans="1:4" ht="21" customHeight="1">
      <c r="A70" s="421"/>
      <c r="B70" s="422"/>
      <c r="C70" s="73"/>
      <c r="D70" s="187" t="s">
        <v>441</v>
      </c>
    </row>
    <row r="71" spans="1:4">
      <c r="A71" s="421"/>
      <c r="B71" s="422" t="s">
        <v>578</v>
      </c>
      <c r="C71" s="163" t="s">
        <v>654</v>
      </c>
    </row>
    <row r="72" spans="1:4" ht="15" customHeight="1">
      <c r="A72" s="421"/>
      <c r="B72" s="422"/>
      <c r="C72" s="430" t="s">
        <v>291</v>
      </c>
      <c r="D72" s="163" t="s">
        <v>655</v>
      </c>
    </row>
    <row r="73" spans="1:4" ht="21" customHeight="1">
      <c r="A73" s="421"/>
      <c r="B73" s="422"/>
      <c r="C73" s="431"/>
      <c r="D73" s="177" t="s">
        <v>295</v>
      </c>
    </row>
    <row r="74" spans="1:4" ht="21" customHeight="1">
      <c r="A74" s="421"/>
      <c r="B74" s="422"/>
      <c r="C74" s="431"/>
      <c r="D74" s="177" t="s">
        <v>296</v>
      </c>
    </row>
    <row r="75" spans="1:4">
      <c r="A75" s="421"/>
      <c r="B75" s="422" t="s">
        <v>579</v>
      </c>
      <c r="C75" s="163" t="s">
        <v>656</v>
      </c>
    </row>
    <row r="76" spans="1:4" ht="15" customHeight="1">
      <c r="A76" s="421"/>
      <c r="B76" s="422"/>
      <c r="C76" s="425" t="s">
        <v>657</v>
      </c>
      <c r="D76" s="163" t="s">
        <v>658</v>
      </c>
    </row>
    <row r="77" spans="1:4" ht="20.65">
      <c r="A77" s="421"/>
      <c r="B77" s="422"/>
      <c r="C77" s="425"/>
      <c r="D77" s="44" t="s">
        <v>84</v>
      </c>
    </row>
    <row r="78" spans="1:4" ht="20.65">
      <c r="A78" s="421"/>
      <c r="B78" s="422"/>
      <c r="C78" s="425"/>
      <c r="D78" s="209" t="s">
        <v>89</v>
      </c>
    </row>
    <row r="79" spans="1:4" ht="21" customHeight="1">
      <c r="A79" s="421"/>
      <c r="B79" s="422"/>
      <c r="C79" s="425"/>
      <c r="D79" s="209" t="s">
        <v>93</v>
      </c>
    </row>
    <row r="80" spans="1:4" ht="21" customHeight="1">
      <c r="A80" s="421"/>
      <c r="B80" s="422"/>
      <c r="C80" s="425"/>
      <c r="D80" s="209" t="s">
        <v>96</v>
      </c>
    </row>
    <row r="81" spans="1:4" ht="21" customHeight="1">
      <c r="A81" s="421"/>
      <c r="B81" s="422"/>
      <c r="C81" s="425"/>
      <c r="D81" s="209" t="s">
        <v>99</v>
      </c>
    </row>
    <row r="82" spans="1:4" ht="21" customHeight="1">
      <c r="A82" s="421"/>
      <c r="B82" s="422"/>
      <c r="C82" s="425"/>
      <c r="D82" s="209" t="s">
        <v>103</v>
      </c>
    </row>
    <row r="83" spans="1:4" ht="21" customHeight="1">
      <c r="A83" s="421"/>
      <c r="B83" s="422"/>
      <c r="C83" s="425"/>
      <c r="D83" s="209" t="s">
        <v>105</v>
      </c>
    </row>
    <row r="84" spans="1:4" ht="21" customHeight="1">
      <c r="A84" s="421"/>
      <c r="B84" s="422"/>
      <c r="C84" s="425"/>
      <c r="D84" s="210" t="s">
        <v>107</v>
      </c>
    </row>
    <row r="85" spans="1:4" ht="21" customHeight="1">
      <c r="A85" s="421"/>
      <c r="B85" s="422"/>
      <c r="C85" s="425"/>
      <c r="D85" s="209" t="s">
        <v>109</v>
      </c>
    </row>
    <row r="86" spans="1:4" ht="21" customHeight="1">
      <c r="A86" s="421"/>
      <c r="B86" s="422"/>
      <c r="C86" s="425"/>
      <c r="D86" s="210" t="s">
        <v>111</v>
      </c>
    </row>
    <row r="87" spans="1:4" ht="21" customHeight="1">
      <c r="A87" s="421"/>
      <c r="B87" s="422"/>
      <c r="C87" s="425"/>
      <c r="D87" s="209" t="s">
        <v>113</v>
      </c>
    </row>
    <row r="88" spans="1:4" ht="21" customHeight="1">
      <c r="A88" s="421"/>
      <c r="B88" s="422"/>
      <c r="C88" s="425"/>
      <c r="D88" s="209" t="s">
        <v>116</v>
      </c>
    </row>
    <row r="89" spans="1:4" ht="21" customHeight="1">
      <c r="A89" s="421"/>
      <c r="B89" s="422"/>
      <c r="C89" s="425"/>
      <c r="D89" s="209" t="s">
        <v>118</v>
      </c>
    </row>
    <row r="90" spans="1:4" ht="21" customHeight="1">
      <c r="A90" s="421"/>
      <c r="B90" s="422"/>
      <c r="C90" s="425"/>
      <c r="D90" s="210" t="s">
        <v>121</v>
      </c>
    </row>
    <row r="91" spans="1:4" ht="21" customHeight="1">
      <c r="A91" s="421"/>
      <c r="B91" s="422"/>
      <c r="C91" s="425"/>
      <c r="D91" s="209" t="s">
        <v>122</v>
      </c>
    </row>
    <row r="92" spans="1:4" ht="21" customHeight="1">
      <c r="A92" s="421"/>
      <c r="B92" s="422"/>
      <c r="C92" s="425"/>
      <c r="D92" s="209" t="s">
        <v>124</v>
      </c>
    </row>
    <row r="93" spans="1:4" ht="21" customHeight="1">
      <c r="A93" s="421"/>
      <c r="B93" s="422"/>
      <c r="C93" s="425"/>
      <c r="D93" s="209" t="s">
        <v>126</v>
      </c>
    </row>
    <row r="94" spans="1:4" ht="20.65">
      <c r="A94" s="421"/>
      <c r="B94" s="422"/>
      <c r="C94" s="425"/>
      <c r="D94" s="209" t="s">
        <v>128</v>
      </c>
    </row>
    <row r="95" spans="1:4" ht="20.65">
      <c r="A95" s="421"/>
      <c r="B95" s="422"/>
      <c r="C95" s="426"/>
      <c r="D95" s="8" t="s">
        <v>129</v>
      </c>
    </row>
    <row r="96" spans="1:4" ht="21" customHeight="1">
      <c r="A96" s="421"/>
      <c r="B96" s="422"/>
      <c r="C96" s="211" t="s">
        <v>46</v>
      </c>
    </row>
    <row r="97" spans="1:3" ht="21" customHeight="1">
      <c r="A97" s="421"/>
      <c r="B97" s="422"/>
      <c r="C97" s="211" t="s">
        <v>49</v>
      </c>
    </row>
    <row r="98" spans="1:3" ht="21" customHeight="1">
      <c r="A98" s="421"/>
      <c r="B98" s="422"/>
      <c r="C98" s="212" t="s">
        <v>51</v>
      </c>
    </row>
    <row r="99" spans="1:3" ht="21" customHeight="1">
      <c r="A99" s="421"/>
      <c r="B99" s="422"/>
      <c r="C99" s="212" t="s">
        <v>54</v>
      </c>
    </row>
    <row r="100" spans="1:3" ht="21" customHeight="1">
      <c r="A100" s="421"/>
      <c r="B100" s="422"/>
      <c r="C100" s="212" t="s">
        <v>58</v>
      </c>
    </row>
    <row r="101" spans="1:3" ht="21" customHeight="1">
      <c r="A101" s="421"/>
      <c r="B101" s="422"/>
      <c r="C101" s="212" t="s">
        <v>62</v>
      </c>
    </row>
    <row r="102" spans="1:3" ht="21" customHeight="1">
      <c r="A102" s="421"/>
      <c r="B102" s="422"/>
      <c r="C102" s="212" t="s">
        <v>65</v>
      </c>
    </row>
    <row r="103" spans="1:3" ht="21" customHeight="1">
      <c r="A103" s="421"/>
      <c r="B103" s="422"/>
      <c r="C103" s="212" t="s">
        <v>69</v>
      </c>
    </row>
    <row r="104" spans="1:3" ht="21" customHeight="1">
      <c r="A104" s="421"/>
      <c r="B104" s="422"/>
      <c r="C104" s="212" t="s">
        <v>72</v>
      </c>
    </row>
    <row r="105" spans="1:3" ht="21" customHeight="1">
      <c r="A105" s="421"/>
      <c r="B105" s="422"/>
      <c r="C105" s="212" t="s">
        <v>75</v>
      </c>
    </row>
    <row r="106" spans="1:3" ht="20.65">
      <c r="A106" s="421"/>
      <c r="B106" s="422"/>
      <c r="C106" s="212" t="s">
        <v>78</v>
      </c>
    </row>
    <row r="107" spans="1:3" ht="20.65">
      <c r="A107" s="421"/>
      <c r="B107" s="422"/>
      <c r="C107" s="43" t="s">
        <v>82</v>
      </c>
    </row>
    <row r="108" spans="1:3" ht="20.65">
      <c r="A108" s="421"/>
      <c r="B108" s="422"/>
      <c r="C108" s="42" t="s">
        <v>35</v>
      </c>
    </row>
    <row r="109" spans="1:3">
      <c r="A109" s="421"/>
      <c r="B109" s="422"/>
    </row>
    <row r="110" spans="1:3">
      <c r="A110" s="421"/>
      <c r="B110" s="422"/>
    </row>
    <row r="111" spans="1:3">
      <c r="A111" s="421"/>
      <c r="B111" s="422"/>
    </row>
    <row r="112" spans="1:3">
      <c r="A112" s="421"/>
      <c r="B112" s="422"/>
    </row>
    <row r="113" spans="1:2">
      <c r="A113" s="421"/>
      <c r="B113" s="422"/>
    </row>
    <row r="114" spans="1:2">
      <c r="A114" s="421"/>
      <c r="B114" s="422"/>
    </row>
    <row r="115" spans="1:2">
      <c r="B115" s="422"/>
    </row>
    <row r="116" spans="1:2">
      <c r="B116" s="422"/>
    </row>
    <row r="144" spans="2:5">
      <c r="B144" s="165" t="s">
        <v>463</v>
      </c>
      <c r="C144" s="170" t="s">
        <v>0</v>
      </c>
      <c r="D144" s="171" t="s">
        <v>26</v>
      </c>
      <c r="E144" t="s">
        <v>289</v>
      </c>
    </row>
    <row r="145" spans="2:5">
      <c r="B145" s="166" t="s">
        <v>464</v>
      </c>
      <c r="C145" s="173" t="s">
        <v>659</v>
      </c>
      <c r="D145" s="167" t="s">
        <v>466</v>
      </c>
      <c r="E145" t="s">
        <v>467</v>
      </c>
    </row>
    <row r="146" spans="2:5">
      <c r="B146" s="190" t="s">
        <v>297</v>
      </c>
      <c r="C146" s="173" t="s">
        <v>469</v>
      </c>
      <c r="D146" s="167" t="s">
        <v>660</v>
      </c>
      <c r="E146" t="s">
        <v>661</v>
      </c>
    </row>
    <row r="147" spans="2:5">
      <c r="B147" s="190" t="s">
        <v>471</v>
      </c>
      <c r="C147" s="173" t="s">
        <v>469</v>
      </c>
      <c r="D147" s="167" t="s">
        <v>574</v>
      </c>
    </row>
    <row r="148" spans="2:5">
      <c r="B148" s="190" t="s">
        <v>579</v>
      </c>
      <c r="C148" s="173" t="s">
        <v>469</v>
      </c>
      <c r="D148" s="167" t="s">
        <v>574</v>
      </c>
    </row>
    <row r="149" spans="2:5">
      <c r="B149" s="190" t="s">
        <v>662</v>
      </c>
      <c r="C149" s="173" t="s">
        <v>469</v>
      </c>
      <c r="D149" s="167" t="s">
        <v>663</v>
      </c>
    </row>
    <row r="150" spans="2:5">
      <c r="B150" s="190" t="s">
        <v>9</v>
      </c>
      <c r="C150" s="173" t="s">
        <v>469</v>
      </c>
      <c r="D150" s="167"/>
    </row>
    <row r="151" spans="2:5">
      <c r="B151" s="190" t="s">
        <v>479</v>
      </c>
      <c r="C151" s="173" t="s">
        <v>469</v>
      </c>
      <c r="D151" s="167"/>
    </row>
    <row r="152" spans="2:5">
      <c r="B152" s="191" t="s">
        <v>298</v>
      </c>
      <c r="C152" s="192" t="s">
        <v>636</v>
      </c>
      <c r="D152" s="198" t="s">
        <v>491</v>
      </c>
    </row>
    <row r="153" spans="2:5">
      <c r="B153" s="191" t="s">
        <v>312</v>
      </c>
      <c r="C153" s="192" t="s">
        <v>298</v>
      </c>
      <c r="D153" s="193" t="s">
        <v>588</v>
      </c>
    </row>
    <row r="154" spans="2:5">
      <c r="B154" s="191" t="s">
        <v>317</v>
      </c>
      <c r="C154" s="192" t="s">
        <v>298</v>
      </c>
      <c r="D154" s="198" t="s">
        <v>517</v>
      </c>
    </row>
    <row r="155" spans="2:5">
      <c r="B155" s="191" t="s">
        <v>323</v>
      </c>
      <c r="C155" s="192" t="s">
        <v>317</v>
      </c>
      <c r="D155" s="193" t="s">
        <v>588</v>
      </c>
    </row>
    <row r="156" spans="2:5">
      <c r="B156" s="191" t="s">
        <v>326</v>
      </c>
      <c r="C156" s="192" t="s">
        <v>317</v>
      </c>
      <c r="D156" s="193" t="s">
        <v>588</v>
      </c>
    </row>
    <row r="157" spans="2:5">
      <c r="B157" s="191" t="s">
        <v>328</v>
      </c>
      <c r="C157" s="192" t="s">
        <v>317</v>
      </c>
      <c r="D157" s="193" t="s">
        <v>588</v>
      </c>
    </row>
    <row r="158" spans="2:5">
      <c r="B158" s="191" t="s">
        <v>329</v>
      </c>
      <c r="C158" s="192" t="s">
        <v>298</v>
      </c>
      <c r="D158" s="193" t="s">
        <v>588</v>
      </c>
    </row>
    <row r="159" spans="2:5">
      <c r="B159" s="191" t="s">
        <v>331</v>
      </c>
      <c r="C159" s="192" t="s">
        <v>298</v>
      </c>
      <c r="D159" s="193" t="s">
        <v>588</v>
      </c>
    </row>
    <row r="160" spans="2:5">
      <c r="B160" s="191" t="s">
        <v>333</v>
      </c>
      <c r="C160" s="192" t="s">
        <v>298</v>
      </c>
      <c r="D160" s="193" t="s">
        <v>588</v>
      </c>
    </row>
    <row r="161" spans="2:5">
      <c r="B161" s="191" t="s">
        <v>319</v>
      </c>
      <c r="C161" s="192" t="s">
        <v>298</v>
      </c>
      <c r="D161" s="193" t="s">
        <v>588</v>
      </c>
    </row>
    <row r="162" spans="2:5">
      <c r="B162" s="191" t="s">
        <v>321</v>
      </c>
      <c r="C162" s="192" t="s">
        <v>298</v>
      </c>
      <c r="D162" s="193" t="s">
        <v>588</v>
      </c>
    </row>
    <row r="163" spans="2:5">
      <c r="B163" s="191" t="s">
        <v>322</v>
      </c>
      <c r="C163" s="192" t="s">
        <v>298</v>
      </c>
      <c r="D163" s="193" t="s">
        <v>588</v>
      </c>
    </row>
    <row r="164" spans="2:5" ht="15.4">
      <c r="B164" s="191" t="s">
        <v>301</v>
      </c>
      <c r="C164" s="192" t="s">
        <v>636</v>
      </c>
      <c r="D164" s="199" t="s">
        <v>491</v>
      </c>
    </row>
    <row r="165" spans="2:5">
      <c r="B165" s="191" t="s">
        <v>360</v>
      </c>
      <c r="C165" s="192" t="s">
        <v>301</v>
      </c>
      <c r="D165" s="193" t="s">
        <v>664</v>
      </c>
    </row>
    <row r="166" spans="2:5">
      <c r="B166" s="191" t="s">
        <v>363</v>
      </c>
      <c r="C166" s="192" t="s">
        <v>301</v>
      </c>
      <c r="D166" s="193" t="s">
        <v>664</v>
      </c>
    </row>
    <row r="167" spans="2:5" ht="15.4">
      <c r="B167" s="191" t="s">
        <v>364</v>
      </c>
      <c r="C167" s="192" t="s">
        <v>301</v>
      </c>
      <c r="D167" s="193" t="s">
        <v>664</v>
      </c>
      <c r="E167" s="199"/>
    </row>
    <row r="168" spans="2:5">
      <c r="B168" s="191" t="s">
        <v>366</v>
      </c>
      <c r="C168" s="192" t="s">
        <v>301</v>
      </c>
      <c r="D168" s="193" t="s">
        <v>664</v>
      </c>
    </row>
    <row r="169" spans="2:5">
      <c r="B169" s="191" t="s">
        <v>368</v>
      </c>
      <c r="C169" s="192" t="s">
        <v>301</v>
      </c>
      <c r="D169" s="193" t="s">
        <v>664</v>
      </c>
    </row>
    <row r="170" spans="2:5">
      <c r="B170" s="191" t="s">
        <v>370</v>
      </c>
      <c r="C170" s="192" t="s">
        <v>301</v>
      </c>
      <c r="D170" s="193" t="s">
        <v>664</v>
      </c>
    </row>
    <row r="171" spans="2:5">
      <c r="B171" s="191" t="s">
        <v>372</v>
      </c>
      <c r="C171" s="192" t="s">
        <v>301</v>
      </c>
      <c r="D171" s="193" t="s">
        <v>664</v>
      </c>
    </row>
    <row r="172" spans="2:5">
      <c r="B172" s="191" t="s">
        <v>374</v>
      </c>
      <c r="C172" s="192" t="s">
        <v>301</v>
      </c>
      <c r="D172" s="193" t="s">
        <v>664</v>
      </c>
    </row>
    <row r="173" spans="2:5">
      <c r="B173" s="191" t="s">
        <v>376</v>
      </c>
      <c r="C173" s="192" t="s">
        <v>301</v>
      </c>
      <c r="D173" s="193" t="s">
        <v>664</v>
      </c>
    </row>
    <row r="174" spans="2:5">
      <c r="B174" s="191" t="s">
        <v>378</v>
      </c>
      <c r="C174" s="192" t="s">
        <v>301</v>
      </c>
      <c r="D174" s="193" t="s">
        <v>664</v>
      </c>
    </row>
    <row r="175" spans="2:5">
      <c r="B175" s="191" t="s">
        <v>303</v>
      </c>
      <c r="C175" s="192" t="s">
        <v>636</v>
      </c>
      <c r="D175" s="193" t="s">
        <v>665</v>
      </c>
    </row>
    <row r="176" spans="2:5">
      <c r="B176" s="191" t="s">
        <v>337</v>
      </c>
      <c r="C176" s="192" t="s">
        <v>303</v>
      </c>
      <c r="D176" s="193" t="s">
        <v>666</v>
      </c>
    </row>
    <row r="177" spans="2:4">
      <c r="B177" s="191" t="s">
        <v>340</v>
      </c>
      <c r="C177" s="192" t="s">
        <v>303</v>
      </c>
      <c r="D177" s="193" t="s">
        <v>666</v>
      </c>
    </row>
    <row r="178" spans="2:4">
      <c r="B178" s="191" t="s">
        <v>342</v>
      </c>
      <c r="C178" s="192" t="s">
        <v>303</v>
      </c>
      <c r="D178" s="193" t="s">
        <v>666</v>
      </c>
    </row>
    <row r="179" spans="2:4">
      <c r="B179" s="191" t="s">
        <v>344</v>
      </c>
      <c r="C179" s="192" t="s">
        <v>303</v>
      </c>
      <c r="D179" s="193" t="s">
        <v>666</v>
      </c>
    </row>
    <row r="180" spans="2:4">
      <c r="B180" s="191" t="s">
        <v>304</v>
      </c>
      <c r="C180" s="192" t="s">
        <v>636</v>
      </c>
      <c r="D180" s="193" t="s">
        <v>665</v>
      </c>
    </row>
    <row r="181" spans="2:4">
      <c r="B181" s="191" t="s">
        <v>346</v>
      </c>
      <c r="C181" s="192" t="s">
        <v>304</v>
      </c>
      <c r="D181" s="193" t="s">
        <v>667</v>
      </c>
    </row>
    <row r="182" spans="2:4">
      <c r="B182" s="191" t="s">
        <v>348</v>
      </c>
      <c r="C182" s="192" t="s">
        <v>304</v>
      </c>
      <c r="D182" s="193" t="s">
        <v>667</v>
      </c>
    </row>
    <row r="183" spans="2:4">
      <c r="B183" s="191" t="s">
        <v>350</v>
      </c>
      <c r="C183" s="192" t="s">
        <v>304</v>
      </c>
      <c r="D183" s="193" t="s">
        <v>667</v>
      </c>
    </row>
    <row r="184" spans="2:4">
      <c r="B184" s="191" t="s">
        <v>353</v>
      </c>
      <c r="C184" s="192" t="s">
        <v>304</v>
      </c>
      <c r="D184" s="193" t="s">
        <v>667</v>
      </c>
    </row>
    <row r="185" spans="2:4">
      <c r="B185" s="191" t="s">
        <v>356</v>
      </c>
      <c r="C185" s="192" t="s">
        <v>304</v>
      </c>
      <c r="D185" s="193" t="s">
        <v>667</v>
      </c>
    </row>
    <row r="186" spans="2:4">
      <c r="B186" s="191" t="s">
        <v>305</v>
      </c>
      <c r="C186" s="192" t="s">
        <v>636</v>
      </c>
      <c r="D186" s="193" t="s">
        <v>665</v>
      </c>
    </row>
    <row r="187" spans="2:4">
      <c r="B187" s="191" t="s">
        <v>379</v>
      </c>
      <c r="C187" s="192" t="s">
        <v>305</v>
      </c>
      <c r="D187" s="193" t="s">
        <v>668</v>
      </c>
    </row>
    <row r="188" spans="2:4">
      <c r="B188" s="191" t="s">
        <v>381</v>
      </c>
      <c r="C188" s="192" t="s">
        <v>305</v>
      </c>
      <c r="D188" s="193" t="s">
        <v>668</v>
      </c>
    </row>
    <row r="189" spans="2:4">
      <c r="B189" s="191" t="s">
        <v>307</v>
      </c>
      <c r="C189" s="192" t="s">
        <v>636</v>
      </c>
      <c r="D189" s="193" t="s">
        <v>665</v>
      </c>
    </row>
    <row r="190" spans="2:4">
      <c r="B190" s="191" t="s">
        <v>391</v>
      </c>
      <c r="C190" s="192" t="s">
        <v>307</v>
      </c>
      <c r="D190" s="194" t="s">
        <v>669</v>
      </c>
    </row>
    <row r="191" spans="2:4">
      <c r="B191" s="191" t="s">
        <v>394</v>
      </c>
      <c r="C191" s="192" t="s">
        <v>307</v>
      </c>
      <c r="D191" s="194" t="s">
        <v>669</v>
      </c>
    </row>
    <row r="192" spans="2:4">
      <c r="B192" s="191" t="s">
        <v>397</v>
      </c>
      <c r="C192" s="192" t="s">
        <v>307</v>
      </c>
      <c r="D192" s="194" t="s">
        <v>669</v>
      </c>
    </row>
    <row r="193" spans="2:4">
      <c r="B193" s="191" t="s">
        <v>309</v>
      </c>
      <c r="C193" s="192" t="s">
        <v>636</v>
      </c>
      <c r="D193" s="193" t="s">
        <v>665</v>
      </c>
    </row>
    <row r="194" spans="2:4">
      <c r="B194" s="195" t="s">
        <v>399</v>
      </c>
      <c r="C194" s="196" t="s">
        <v>398</v>
      </c>
      <c r="D194" s="197" t="s">
        <v>670</v>
      </c>
    </row>
    <row r="195" spans="2:4">
      <c r="B195" s="195" t="s">
        <v>402</v>
      </c>
      <c r="C195" s="196" t="s">
        <v>398</v>
      </c>
      <c r="D195" s="197" t="s">
        <v>665</v>
      </c>
    </row>
    <row r="196" spans="2:4">
      <c r="B196" s="195" t="s">
        <v>406</v>
      </c>
      <c r="C196" s="196" t="s">
        <v>402</v>
      </c>
      <c r="D196" s="197" t="s">
        <v>671</v>
      </c>
    </row>
    <row r="197" spans="2:4">
      <c r="B197" s="195" t="s">
        <v>409</v>
      </c>
      <c r="C197" s="196" t="s">
        <v>402</v>
      </c>
      <c r="D197" s="197" t="s">
        <v>671</v>
      </c>
    </row>
    <row r="198" spans="2:4">
      <c r="B198" s="195" t="s">
        <v>410</v>
      </c>
      <c r="C198" s="196" t="s">
        <v>402</v>
      </c>
      <c r="D198" s="197" t="s">
        <v>671</v>
      </c>
    </row>
    <row r="199" spans="2:4">
      <c r="B199" s="195" t="s">
        <v>411</v>
      </c>
      <c r="C199" s="196" t="s">
        <v>402</v>
      </c>
      <c r="D199" s="197" t="s">
        <v>671</v>
      </c>
    </row>
    <row r="200" spans="2:4">
      <c r="B200" s="195" t="s">
        <v>413</v>
      </c>
      <c r="C200" s="196" t="s">
        <v>402</v>
      </c>
      <c r="D200" s="197" t="s">
        <v>671</v>
      </c>
    </row>
    <row r="201" spans="2:4">
      <c r="B201" s="195" t="s">
        <v>414</v>
      </c>
      <c r="C201" s="196" t="s">
        <v>402</v>
      </c>
      <c r="D201" s="197" t="s">
        <v>671</v>
      </c>
    </row>
    <row r="202" spans="2:4">
      <c r="B202" s="195" t="s">
        <v>415</v>
      </c>
      <c r="C202" s="196" t="s">
        <v>402</v>
      </c>
      <c r="D202" s="197" t="s">
        <v>671</v>
      </c>
    </row>
    <row r="203" spans="2:4">
      <c r="B203" s="195" t="s">
        <v>417</v>
      </c>
      <c r="C203" s="196" t="s">
        <v>402</v>
      </c>
      <c r="D203" s="197" t="s">
        <v>671</v>
      </c>
    </row>
    <row r="204" spans="2:4">
      <c r="B204" s="195" t="s">
        <v>419</v>
      </c>
      <c r="C204" s="196" t="s">
        <v>402</v>
      </c>
      <c r="D204" s="197" t="s">
        <v>671</v>
      </c>
    </row>
    <row r="205" spans="2:4">
      <c r="B205" s="195" t="s">
        <v>404</v>
      </c>
      <c r="C205" s="196" t="s">
        <v>398</v>
      </c>
      <c r="D205" s="197" t="s">
        <v>665</v>
      </c>
    </row>
    <row r="206" spans="2:4">
      <c r="B206" s="195" t="s">
        <v>420</v>
      </c>
      <c r="C206" s="196" t="s">
        <v>404</v>
      </c>
      <c r="D206" s="197" t="s">
        <v>672</v>
      </c>
    </row>
    <row r="207" spans="2:4">
      <c r="B207" s="195" t="s">
        <v>422</v>
      </c>
      <c r="C207" s="196" t="s">
        <v>404</v>
      </c>
      <c r="D207" s="197" t="s">
        <v>672</v>
      </c>
    </row>
    <row r="208" spans="2:4">
      <c r="B208" s="195" t="s">
        <v>425</v>
      </c>
      <c r="C208" s="196" t="s">
        <v>404</v>
      </c>
      <c r="D208" s="197" t="s">
        <v>672</v>
      </c>
    </row>
    <row r="209" spans="2:4">
      <c r="B209" s="195" t="s">
        <v>426</v>
      </c>
      <c r="C209" s="196" t="s">
        <v>404</v>
      </c>
      <c r="D209" s="197" t="s">
        <v>672</v>
      </c>
    </row>
    <row r="210" spans="2:4">
      <c r="B210" s="195" t="s">
        <v>427</v>
      </c>
      <c r="C210" s="196" t="s">
        <v>404</v>
      </c>
      <c r="D210" s="197" t="s">
        <v>672</v>
      </c>
    </row>
    <row r="211" spans="2:4">
      <c r="B211" s="195" t="s">
        <v>428</v>
      </c>
      <c r="C211" s="196" t="s">
        <v>404</v>
      </c>
      <c r="D211" s="197" t="s">
        <v>672</v>
      </c>
    </row>
    <row r="212" spans="2:4">
      <c r="B212" s="195" t="s">
        <v>430</v>
      </c>
      <c r="C212" s="196" t="s">
        <v>404</v>
      </c>
      <c r="D212" s="197" t="s">
        <v>672</v>
      </c>
    </row>
    <row r="213" spans="2:4">
      <c r="B213" s="195" t="s">
        <v>432</v>
      </c>
      <c r="C213" s="196" t="s">
        <v>404</v>
      </c>
      <c r="D213" s="197" t="s">
        <v>672</v>
      </c>
    </row>
    <row r="214" spans="2:4">
      <c r="B214" s="195" t="s">
        <v>433</v>
      </c>
      <c r="C214" s="196" t="s">
        <v>404</v>
      </c>
      <c r="D214" s="197" t="s">
        <v>672</v>
      </c>
    </row>
    <row r="215" spans="2:4">
      <c r="B215" s="195" t="s">
        <v>435</v>
      </c>
      <c r="C215" s="196" t="s">
        <v>404</v>
      </c>
      <c r="D215" s="197" t="s">
        <v>672</v>
      </c>
    </row>
    <row r="216" spans="2:4">
      <c r="B216" s="195" t="s">
        <v>436</v>
      </c>
      <c r="C216" s="196" t="s">
        <v>404</v>
      </c>
      <c r="D216" s="197" t="s">
        <v>672</v>
      </c>
    </row>
    <row r="217" spans="2:4">
      <c r="B217" s="195" t="s">
        <v>438</v>
      </c>
      <c r="C217" s="196" t="s">
        <v>404</v>
      </c>
      <c r="D217" s="197" t="s">
        <v>672</v>
      </c>
    </row>
    <row r="218" spans="2:4">
      <c r="B218" s="195" t="s">
        <v>441</v>
      </c>
      <c r="C218" s="196" t="s">
        <v>404</v>
      </c>
      <c r="D218" s="197" t="s">
        <v>672</v>
      </c>
    </row>
    <row r="219" spans="2:4">
      <c r="B219" s="200" t="s">
        <v>657</v>
      </c>
      <c r="C219" s="201" t="s">
        <v>579</v>
      </c>
      <c r="D219" s="202" t="s">
        <v>665</v>
      </c>
    </row>
    <row r="220" spans="2:4">
      <c r="B220" s="200" t="s">
        <v>84</v>
      </c>
      <c r="C220" s="201" t="s">
        <v>657</v>
      </c>
      <c r="D220" s="202" t="s">
        <v>673</v>
      </c>
    </row>
    <row r="221" spans="2:4">
      <c r="B221" s="200" t="s">
        <v>89</v>
      </c>
      <c r="C221" s="201" t="s">
        <v>657</v>
      </c>
      <c r="D221" s="202" t="s">
        <v>673</v>
      </c>
    </row>
    <row r="222" spans="2:4">
      <c r="B222" s="200" t="s">
        <v>93</v>
      </c>
      <c r="C222" s="201" t="s">
        <v>657</v>
      </c>
      <c r="D222" s="202" t="s">
        <v>673</v>
      </c>
    </row>
    <row r="223" spans="2:4">
      <c r="B223" s="200" t="s">
        <v>96</v>
      </c>
      <c r="C223" s="201" t="s">
        <v>657</v>
      </c>
      <c r="D223" s="202" t="s">
        <v>673</v>
      </c>
    </row>
    <row r="224" spans="2:4">
      <c r="B224" s="200" t="s">
        <v>99</v>
      </c>
      <c r="C224" s="201" t="s">
        <v>657</v>
      </c>
      <c r="D224" s="202" t="s">
        <v>673</v>
      </c>
    </row>
    <row r="225" spans="2:4">
      <c r="B225" s="200" t="s">
        <v>103</v>
      </c>
      <c r="C225" s="201" t="s">
        <v>657</v>
      </c>
      <c r="D225" s="202" t="s">
        <v>673</v>
      </c>
    </row>
    <row r="226" spans="2:4">
      <c r="B226" s="200" t="s">
        <v>105</v>
      </c>
      <c r="C226" s="201" t="s">
        <v>657</v>
      </c>
      <c r="D226" s="202" t="s">
        <v>673</v>
      </c>
    </row>
    <row r="227" spans="2:4">
      <c r="B227" s="200" t="s">
        <v>107</v>
      </c>
      <c r="C227" s="201" t="s">
        <v>657</v>
      </c>
      <c r="D227" s="202" t="s">
        <v>673</v>
      </c>
    </row>
    <row r="228" spans="2:4">
      <c r="B228" s="200" t="s">
        <v>109</v>
      </c>
      <c r="C228" s="201" t="s">
        <v>657</v>
      </c>
      <c r="D228" s="202" t="s">
        <v>673</v>
      </c>
    </row>
    <row r="229" spans="2:4">
      <c r="B229" s="200" t="s">
        <v>111</v>
      </c>
      <c r="C229" s="201" t="s">
        <v>657</v>
      </c>
      <c r="D229" s="202" t="s">
        <v>673</v>
      </c>
    </row>
    <row r="230" spans="2:4">
      <c r="B230" s="200" t="s">
        <v>113</v>
      </c>
      <c r="C230" s="201" t="s">
        <v>657</v>
      </c>
      <c r="D230" s="202" t="s">
        <v>673</v>
      </c>
    </row>
    <row r="231" spans="2:4">
      <c r="B231" s="200" t="s">
        <v>116</v>
      </c>
      <c r="C231" s="201" t="s">
        <v>657</v>
      </c>
      <c r="D231" s="202" t="s">
        <v>673</v>
      </c>
    </row>
    <row r="232" spans="2:4">
      <c r="B232" s="200" t="s">
        <v>118</v>
      </c>
      <c r="C232" s="201" t="s">
        <v>657</v>
      </c>
      <c r="D232" s="202" t="s">
        <v>673</v>
      </c>
    </row>
    <row r="233" spans="2:4">
      <c r="B233" s="200" t="s">
        <v>121</v>
      </c>
      <c r="C233" s="201" t="s">
        <v>657</v>
      </c>
      <c r="D233" s="202" t="s">
        <v>673</v>
      </c>
    </row>
    <row r="234" spans="2:4">
      <c r="B234" s="200" t="s">
        <v>122</v>
      </c>
      <c r="C234" s="201" t="s">
        <v>657</v>
      </c>
      <c r="D234" s="202" t="s">
        <v>673</v>
      </c>
    </row>
    <row r="235" spans="2:4">
      <c r="B235" s="200" t="s">
        <v>124</v>
      </c>
      <c r="C235" s="201" t="s">
        <v>657</v>
      </c>
      <c r="D235" s="202" t="s">
        <v>673</v>
      </c>
    </row>
    <row r="236" spans="2:4">
      <c r="B236" s="200" t="s">
        <v>126</v>
      </c>
      <c r="C236" s="201" t="s">
        <v>657</v>
      </c>
      <c r="D236" s="202" t="s">
        <v>673</v>
      </c>
    </row>
    <row r="237" spans="2:4">
      <c r="B237" s="200" t="s">
        <v>128</v>
      </c>
      <c r="C237" s="201" t="s">
        <v>657</v>
      </c>
      <c r="D237" s="202" t="s">
        <v>673</v>
      </c>
    </row>
    <row r="238" spans="2:4">
      <c r="B238" s="200" t="s">
        <v>129</v>
      </c>
      <c r="C238" s="201" t="s">
        <v>657</v>
      </c>
      <c r="D238" s="202" t="s">
        <v>673</v>
      </c>
    </row>
    <row r="239" spans="2:4">
      <c r="B239" s="200" t="s">
        <v>46</v>
      </c>
      <c r="C239" s="201" t="s">
        <v>579</v>
      </c>
      <c r="D239" s="202" t="s">
        <v>674</v>
      </c>
    </row>
    <row r="240" spans="2:4">
      <c r="B240" s="200" t="s">
        <v>131</v>
      </c>
      <c r="C240" s="200" t="s">
        <v>46</v>
      </c>
      <c r="D240" s="200"/>
    </row>
    <row r="241" spans="2:4">
      <c r="B241" s="200" t="s">
        <v>134</v>
      </c>
      <c r="C241" s="200" t="s">
        <v>46</v>
      </c>
      <c r="D241" s="200"/>
    </row>
    <row r="242" spans="2:4">
      <c r="B242" s="200" t="s">
        <v>136</v>
      </c>
      <c r="C242" s="200" t="s">
        <v>46</v>
      </c>
      <c r="D242" s="200"/>
    </row>
    <row r="243" spans="2:4">
      <c r="B243" s="200" t="s">
        <v>139</v>
      </c>
      <c r="C243" s="200" t="s">
        <v>46</v>
      </c>
      <c r="D243" s="200"/>
    </row>
    <row r="244" spans="2:4">
      <c r="B244" s="200" t="s">
        <v>141</v>
      </c>
      <c r="C244" s="200" t="s">
        <v>46</v>
      </c>
      <c r="D244" s="200"/>
    </row>
    <row r="245" spans="2:4">
      <c r="B245" s="200" t="s">
        <v>144</v>
      </c>
      <c r="C245" s="200" t="s">
        <v>46</v>
      </c>
      <c r="D245" s="200"/>
    </row>
    <row r="246" spans="2:4">
      <c r="B246" s="200" t="s">
        <v>146</v>
      </c>
      <c r="C246" s="200" t="s">
        <v>46</v>
      </c>
      <c r="D246" s="200"/>
    </row>
    <row r="247" spans="2:4">
      <c r="B247" s="200" t="s">
        <v>149</v>
      </c>
      <c r="C247" s="200" t="s">
        <v>46</v>
      </c>
      <c r="D247" s="200"/>
    </row>
    <row r="248" spans="2:4">
      <c r="B248" s="200" t="s">
        <v>151</v>
      </c>
      <c r="C248" s="200" t="s">
        <v>46</v>
      </c>
      <c r="D248" s="200"/>
    </row>
    <row r="249" spans="2:4">
      <c r="B249" s="200" t="s">
        <v>153</v>
      </c>
      <c r="C249" s="200" t="s">
        <v>46</v>
      </c>
      <c r="D249" s="200"/>
    </row>
    <row r="250" spans="2:4">
      <c r="B250" s="200" t="s">
        <v>155</v>
      </c>
      <c r="C250" s="200" t="s">
        <v>46</v>
      </c>
      <c r="D250" s="200"/>
    </row>
    <row r="251" spans="2:4">
      <c r="B251" s="200" t="s">
        <v>157</v>
      </c>
      <c r="C251" s="200" t="s">
        <v>46</v>
      </c>
      <c r="D251" s="200"/>
    </row>
    <row r="252" spans="2:4">
      <c r="B252" s="200" t="s">
        <v>159</v>
      </c>
      <c r="C252" s="200" t="s">
        <v>46</v>
      </c>
      <c r="D252" s="200"/>
    </row>
    <row r="253" spans="2:4">
      <c r="B253" s="200" t="s">
        <v>163</v>
      </c>
      <c r="C253" s="200" t="s">
        <v>46</v>
      </c>
      <c r="D253" s="200"/>
    </row>
    <row r="254" spans="2:4">
      <c r="B254" s="200" t="s">
        <v>165</v>
      </c>
      <c r="C254" s="200" t="s">
        <v>46</v>
      </c>
      <c r="D254" s="200"/>
    </row>
    <row r="255" spans="2:4">
      <c r="B255" s="200" t="s">
        <v>168</v>
      </c>
      <c r="C255" s="200" t="s">
        <v>46</v>
      </c>
      <c r="D255" s="200"/>
    </row>
    <row r="256" spans="2:4">
      <c r="B256" s="200" t="s">
        <v>170</v>
      </c>
      <c r="C256" s="200" t="s">
        <v>46</v>
      </c>
      <c r="D256" s="200"/>
    </row>
    <row r="257" spans="2:4">
      <c r="B257" s="200"/>
      <c r="C257" s="201"/>
      <c r="D257" s="202"/>
    </row>
    <row r="258" spans="2:4">
      <c r="B258" s="200"/>
      <c r="C258" s="201"/>
      <c r="D258" s="202"/>
    </row>
    <row r="259" spans="2:4">
      <c r="B259" s="200"/>
      <c r="C259" s="201"/>
      <c r="D259" s="202"/>
    </row>
    <row r="260" spans="2:4">
      <c r="B260" s="200"/>
      <c r="C260" s="201"/>
      <c r="D260" s="202"/>
    </row>
    <row r="261" spans="2:4">
      <c r="B261" s="200"/>
      <c r="C261" s="201"/>
      <c r="D261" s="202"/>
    </row>
    <row r="262" spans="2:4">
      <c r="B262" s="200"/>
      <c r="C262" s="201"/>
      <c r="D262" s="202"/>
    </row>
    <row r="263" spans="2:4">
      <c r="B263" s="200"/>
      <c r="C263" s="201"/>
      <c r="D263" s="202"/>
    </row>
    <row r="264" spans="2:4">
      <c r="B264" s="200"/>
      <c r="C264" s="201"/>
      <c r="D264" s="202"/>
    </row>
    <row r="265" spans="2:4">
      <c r="B265" s="200"/>
      <c r="C265" s="201"/>
      <c r="D265" s="202"/>
    </row>
    <row r="266" spans="2:4">
      <c r="B266" s="200"/>
      <c r="C266" s="201"/>
      <c r="D266" s="202"/>
    </row>
    <row r="267" spans="2:4">
      <c r="B267" s="200"/>
      <c r="C267" s="201"/>
      <c r="D267" s="202"/>
    </row>
    <row r="268" spans="2:4">
      <c r="B268" s="200"/>
      <c r="C268" s="201"/>
      <c r="D268" s="202"/>
    </row>
    <row r="269" spans="2:4">
      <c r="B269" s="200"/>
      <c r="C269" s="201"/>
      <c r="D269" s="202"/>
    </row>
    <row r="270" spans="2:4">
      <c r="B270" s="200"/>
      <c r="C270" s="201"/>
      <c r="D270" s="202"/>
    </row>
    <row r="271" spans="2:4">
      <c r="B271" s="200"/>
      <c r="C271" s="201"/>
      <c r="D271" s="202"/>
    </row>
    <row r="272" spans="2:4">
      <c r="B272" s="200"/>
      <c r="C272" s="201"/>
      <c r="D272" s="202"/>
    </row>
    <row r="273" spans="2:4">
      <c r="B273" s="200"/>
      <c r="C273" s="201"/>
      <c r="D273" s="202"/>
    </row>
    <row r="274" spans="2:4">
      <c r="B274" s="200"/>
      <c r="C274" s="201"/>
      <c r="D274" s="202"/>
    </row>
    <row r="275" spans="2:4">
      <c r="B275" s="200"/>
      <c r="C275" s="201"/>
      <c r="D275" s="202"/>
    </row>
    <row r="276" spans="2:4">
      <c r="B276" s="200"/>
      <c r="C276" s="201"/>
      <c r="D276" s="202"/>
    </row>
    <row r="277" spans="2:4">
      <c r="B277" s="200" t="s">
        <v>49</v>
      </c>
      <c r="C277" s="201" t="s">
        <v>579</v>
      </c>
      <c r="D277" s="202" t="s">
        <v>674</v>
      </c>
    </row>
    <row r="278" spans="2:4">
      <c r="B278" s="200" t="s">
        <v>51</v>
      </c>
      <c r="C278" s="201" t="s">
        <v>579</v>
      </c>
      <c r="D278" s="202" t="s">
        <v>674</v>
      </c>
    </row>
    <row r="279" spans="2:4">
      <c r="B279" s="200" t="s">
        <v>54</v>
      </c>
      <c r="C279" s="201" t="s">
        <v>579</v>
      </c>
      <c r="D279" s="202" t="s">
        <v>674</v>
      </c>
    </row>
    <row r="280" spans="2:4">
      <c r="B280" s="200" t="s">
        <v>58</v>
      </c>
      <c r="C280" s="201" t="s">
        <v>579</v>
      </c>
      <c r="D280" s="202" t="s">
        <v>674</v>
      </c>
    </row>
    <row r="281" spans="2:4">
      <c r="B281" s="200" t="s">
        <v>62</v>
      </c>
      <c r="C281" s="201" t="s">
        <v>579</v>
      </c>
      <c r="D281" s="202" t="s">
        <v>674</v>
      </c>
    </row>
    <row r="282" spans="2:4">
      <c r="B282" s="200" t="s">
        <v>65</v>
      </c>
      <c r="C282" s="201" t="s">
        <v>579</v>
      </c>
      <c r="D282" s="202" t="s">
        <v>674</v>
      </c>
    </row>
    <row r="283" spans="2:4">
      <c r="B283" s="200" t="s">
        <v>69</v>
      </c>
      <c r="C283" s="201" t="s">
        <v>579</v>
      </c>
      <c r="D283" s="202" t="s">
        <v>674</v>
      </c>
    </row>
    <row r="284" spans="2:4">
      <c r="B284" s="200" t="s">
        <v>72</v>
      </c>
      <c r="C284" s="201" t="s">
        <v>579</v>
      </c>
      <c r="D284" s="202" t="s">
        <v>674</v>
      </c>
    </row>
    <row r="285" spans="2:4">
      <c r="B285" s="200" t="s">
        <v>75</v>
      </c>
      <c r="C285" s="201" t="s">
        <v>579</v>
      </c>
      <c r="D285" s="202" t="s">
        <v>674</v>
      </c>
    </row>
    <row r="286" spans="2:4">
      <c r="B286" s="200" t="s">
        <v>78</v>
      </c>
      <c r="C286" s="201" t="s">
        <v>579</v>
      </c>
      <c r="D286" s="202" t="s">
        <v>674</v>
      </c>
    </row>
    <row r="287" spans="2:4">
      <c r="B287" s="200" t="s">
        <v>82</v>
      </c>
      <c r="C287" s="201" t="s">
        <v>579</v>
      </c>
      <c r="D287" s="202" t="s">
        <v>674</v>
      </c>
    </row>
    <row r="288" spans="2:4">
      <c r="B288" s="200" t="s">
        <v>35</v>
      </c>
      <c r="C288" s="201" t="s">
        <v>579</v>
      </c>
      <c r="D288" s="202" t="s">
        <v>674</v>
      </c>
    </row>
    <row r="289" spans="2:4">
      <c r="B289" s="200"/>
      <c r="C289" s="201"/>
      <c r="D289" s="202"/>
    </row>
    <row r="290" spans="2:4">
      <c r="B290" s="200"/>
      <c r="C290" s="201"/>
      <c r="D290" s="202"/>
    </row>
    <row r="291" spans="2:4">
      <c r="B291" s="200"/>
      <c r="C291" s="201"/>
      <c r="D291" s="202"/>
    </row>
    <row r="292" spans="2:4">
      <c r="B292" s="200"/>
      <c r="C292" s="201"/>
      <c r="D292" s="202"/>
    </row>
    <row r="293" spans="2:4">
      <c r="B293" s="200"/>
      <c r="C293" s="201"/>
      <c r="D293" s="202"/>
    </row>
    <row r="294" spans="2:4">
      <c r="B294" s="200"/>
      <c r="C294" s="201"/>
      <c r="D294" s="202"/>
    </row>
    <row r="295" spans="2:4">
      <c r="B295" s="172" t="s">
        <v>675</v>
      </c>
      <c r="C295" s="174" t="s">
        <v>675</v>
      </c>
      <c r="D295" s="175" t="s">
        <v>675</v>
      </c>
    </row>
    <row r="296" spans="2:4">
      <c r="B296" s="203" t="s">
        <v>676</v>
      </c>
      <c r="C296" s="204"/>
      <c r="D296" s="205"/>
    </row>
    <row r="297" spans="2:4">
      <c r="B297" s="203" t="s">
        <v>291</v>
      </c>
      <c r="C297" s="204" t="s">
        <v>578</v>
      </c>
      <c r="D297" s="205" t="s">
        <v>665</v>
      </c>
    </row>
    <row r="298" spans="2:4">
      <c r="B298" s="203" t="s">
        <v>295</v>
      </c>
      <c r="C298" s="204" t="s">
        <v>291</v>
      </c>
      <c r="D298" s="205" t="s">
        <v>677</v>
      </c>
    </row>
    <row r="299" spans="2:4">
      <c r="B299" s="203" t="s">
        <v>296</v>
      </c>
      <c r="C299" s="204" t="s">
        <v>291</v>
      </c>
      <c r="D299" s="205" t="s">
        <v>677</v>
      </c>
    </row>
    <row r="300" spans="2:4">
      <c r="B300" s="166"/>
      <c r="C300" s="173"/>
      <c r="D300" s="167"/>
    </row>
    <row r="301" spans="2:4">
      <c r="B301" s="166"/>
      <c r="C301" s="173"/>
      <c r="D301" s="167"/>
    </row>
    <row r="302" spans="2:4">
      <c r="B302" s="166"/>
      <c r="C302" s="173"/>
      <c r="D302" s="167"/>
    </row>
    <row r="303" spans="2:4">
      <c r="B303" s="166"/>
      <c r="C303" s="173"/>
      <c r="D303" s="167"/>
    </row>
    <row r="304" spans="2:4">
      <c r="B304" s="166"/>
      <c r="C304" s="173"/>
      <c r="D304" s="167"/>
    </row>
    <row r="305" spans="2:4">
      <c r="B305" s="166"/>
      <c r="C305" s="173"/>
      <c r="D305" s="167"/>
    </row>
    <row r="306" spans="2:4">
      <c r="B306" s="166"/>
      <c r="C306" s="173"/>
      <c r="D306" s="167"/>
    </row>
    <row r="307" spans="2:4">
      <c r="B307" s="166"/>
      <c r="C307" s="173"/>
      <c r="D307" s="167"/>
    </row>
    <row r="308" spans="2:4">
      <c r="B308" s="166"/>
      <c r="C308" s="173"/>
      <c r="D308" s="167"/>
    </row>
    <row r="309" spans="2:4">
      <c r="B309" s="166"/>
      <c r="C309" s="173"/>
      <c r="D309" s="167"/>
    </row>
    <row r="310" spans="2:4">
      <c r="B310" s="166"/>
      <c r="C310" s="173"/>
      <c r="D310" s="167"/>
    </row>
    <row r="311" spans="2:4">
      <c r="B311" s="166"/>
      <c r="C311" s="173"/>
      <c r="D311" s="167"/>
    </row>
    <row r="312" spans="2:4">
      <c r="B312" s="166"/>
      <c r="C312" s="173"/>
      <c r="D312" s="167"/>
    </row>
    <row r="313" spans="2:4">
      <c r="B313" s="166"/>
      <c r="C313" s="173"/>
      <c r="D313" s="167"/>
    </row>
    <row r="314" spans="2:4">
      <c r="B314" s="166"/>
      <c r="C314" s="173"/>
      <c r="D314" s="167"/>
    </row>
    <row r="315" spans="2:4">
      <c r="B315" s="166"/>
      <c r="C315" s="173"/>
      <c r="D315" s="167"/>
    </row>
    <row r="316" spans="2:4">
      <c r="B316" s="166"/>
      <c r="C316" s="173"/>
      <c r="D316" s="167"/>
    </row>
    <row r="317" spans="2:4">
      <c r="B317" s="166"/>
      <c r="C317" s="173"/>
      <c r="D317" s="167"/>
    </row>
    <row r="318" spans="2:4">
      <c r="B318" s="166"/>
      <c r="C318" s="173"/>
      <c r="D318" s="167"/>
    </row>
    <row r="319" spans="2:4">
      <c r="B319" s="166"/>
      <c r="C319" s="173"/>
      <c r="D319" s="167"/>
    </row>
    <row r="320" spans="2:4">
      <c r="B320" s="166"/>
      <c r="C320" s="173"/>
      <c r="D320" s="167"/>
    </row>
    <row r="321" spans="2:4">
      <c r="B321" s="166"/>
      <c r="C321" s="173"/>
      <c r="D321" s="167"/>
    </row>
    <row r="322" spans="2:4">
      <c r="B322" s="166"/>
      <c r="C322" s="173"/>
      <c r="D322" s="167"/>
    </row>
    <row r="323" spans="2:4">
      <c r="B323" s="166"/>
      <c r="C323" s="173"/>
      <c r="D323" s="167"/>
    </row>
    <row r="324" spans="2:4">
      <c r="B324" s="166"/>
      <c r="C324" s="173"/>
      <c r="D324" s="167"/>
    </row>
    <row r="325" spans="2:4">
      <c r="B325" s="166"/>
      <c r="C325" s="173"/>
      <c r="D325" s="167"/>
    </row>
    <row r="326" spans="2:4">
      <c r="B326" s="166"/>
      <c r="C326" s="173"/>
      <c r="D326" s="167"/>
    </row>
    <row r="327" spans="2:4">
      <c r="B327" s="166"/>
      <c r="C327" s="173"/>
      <c r="D327" s="167"/>
    </row>
    <row r="328" spans="2:4">
      <c r="B328" s="166"/>
      <c r="C328" s="173"/>
      <c r="D328" s="167"/>
    </row>
    <row r="329" spans="2:4">
      <c r="B329" s="166"/>
      <c r="C329" s="173"/>
      <c r="D329" s="167"/>
    </row>
    <row r="330" spans="2:4">
      <c r="B330" s="166"/>
      <c r="C330" s="173"/>
      <c r="D330" s="167"/>
    </row>
    <row r="331" spans="2:4">
      <c r="B331" s="166"/>
      <c r="C331" s="173"/>
      <c r="D331" s="167"/>
    </row>
    <row r="332" spans="2:4">
      <c r="B332" s="166"/>
      <c r="C332" s="173"/>
      <c r="D332" s="167"/>
    </row>
    <row r="333" spans="2:4">
      <c r="B333" s="166"/>
      <c r="C333" s="173"/>
      <c r="D333" s="167"/>
    </row>
    <row r="334" spans="2:4">
      <c r="B334" s="166"/>
      <c r="C334" s="173"/>
      <c r="D334" s="167"/>
    </row>
    <row r="335" spans="2:4">
      <c r="B335" s="166"/>
      <c r="C335" s="173"/>
      <c r="D335" s="167"/>
    </row>
    <row r="336" spans="2:4">
      <c r="B336" s="166"/>
      <c r="C336" s="173"/>
      <c r="D336" s="167"/>
    </row>
    <row r="337" spans="2:4">
      <c r="B337" s="166"/>
      <c r="C337" s="173"/>
      <c r="D337" s="167"/>
    </row>
    <row r="338" spans="2:4">
      <c r="B338" s="166"/>
      <c r="C338" s="173"/>
      <c r="D338" s="167"/>
    </row>
    <row r="339" spans="2:4">
      <c r="B339" s="166"/>
      <c r="C339" s="173"/>
      <c r="D339" s="167"/>
    </row>
    <row r="340" spans="2:4">
      <c r="B340" s="166"/>
      <c r="C340" s="173"/>
      <c r="D340" s="167"/>
    </row>
    <row r="341" spans="2:4">
      <c r="B341" s="166"/>
      <c r="C341" s="173"/>
      <c r="D341" s="167"/>
    </row>
    <row r="342" spans="2:4">
      <c r="B342" s="166"/>
      <c r="C342" s="173"/>
      <c r="D342" s="167"/>
    </row>
    <row r="343" spans="2:4">
      <c r="B343" s="166"/>
      <c r="C343" s="173"/>
      <c r="D343" s="167"/>
    </row>
    <row r="344" spans="2:4">
      <c r="B344" s="166"/>
      <c r="C344" s="173"/>
      <c r="D344" s="167"/>
    </row>
    <row r="345" spans="2:4">
      <c r="B345" s="166"/>
      <c r="C345" s="173"/>
      <c r="D345" s="167"/>
    </row>
    <row r="346" spans="2:4">
      <c r="B346" s="166"/>
      <c r="C346" s="173"/>
      <c r="D346" s="167"/>
    </row>
    <row r="347" spans="2:4">
      <c r="B347" s="166"/>
      <c r="C347" s="173"/>
      <c r="D347" s="167"/>
    </row>
    <row r="348" spans="2:4">
      <c r="B348" s="166"/>
      <c r="C348" s="173"/>
      <c r="D348" s="167"/>
    </row>
    <row r="349" spans="2:4">
      <c r="B349" s="166"/>
      <c r="C349" s="173"/>
      <c r="D349" s="167"/>
    </row>
    <row r="350" spans="2:4">
      <c r="B350" s="166"/>
      <c r="C350" s="173"/>
      <c r="D350" s="167"/>
    </row>
    <row r="351" spans="2:4">
      <c r="B351" s="166"/>
      <c r="C351" s="173"/>
      <c r="D351" s="167"/>
    </row>
    <row r="352" spans="2:4">
      <c r="B352" s="166"/>
      <c r="C352" s="173"/>
      <c r="D352" s="167"/>
    </row>
    <row r="353" spans="2:4">
      <c r="B353" s="166"/>
      <c r="C353" s="173"/>
      <c r="D353" s="167"/>
    </row>
    <row r="354" spans="2:4">
      <c r="B354" s="166"/>
      <c r="C354" s="173"/>
      <c r="D354" s="167"/>
    </row>
    <row r="355" spans="2:4">
      <c r="B355" s="166"/>
      <c r="C355" s="173"/>
      <c r="D355" s="167"/>
    </row>
    <row r="356" spans="2:4">
      <c r="B356" s="166"/>
      <c r="C356" s="173"/>
      <c r="D356" s="167"/>
    </row>
    <row r="357" spans="2:4">
      <c r="B357" s="166"/>
      <c r="C357" s="173"/>
      <c r="D357" s="167"/>
    </row>
    <row r="358" spans="2:4">
      <c r="B358" s="166"/>
      <c r="C358" s="173"/>
      <c r="D358" s="167"/>
    </row>
    <row r="359" spans="2:4">
      <c r="B359" s="166"/>
      <c r="C359" s="173"/>
      <c r="D359" s="167"/>
    </row>
    <row r="360" spans="2:4">
      <c r="B360" s="166"/>
      <c r="C360" s="173"/>
      <c r="D360" s="167"/>
    </row>
    <row r="361" spans="2:4">
      <c r="B361" s="166"/>
      <c r="C361" s="173"/>
      <c r="D361" s="167"/>
    </row>
    <row r="362" spans="2:4">
      <c r="B362" s="166"/>
      <c r="C362" s="173"/>
      <c r="D362" s="167"/>
    </row>
    <row r="363" spans="2:4">
      <c r="B363" s="166"/>
      <c r="C363" s="173"/>
      <c r="D363" s="167"/>
    </row>
    <row r="364" spans="2:4">
      <c r="B364" s="166"/>
      <c r="C364" s="173"/>
      <c r="D364" s="167"/>
    </row>
    <row r="365" spans="2:4">
      <c r="B365" s="166"/>
      <c r="C365" s="173"/>
      <c r="D365" s="167"/>
    </row>
    <row r="366" spans="2:4">
      <c r="B366" s="166"/>
      <c r="C366" s="173"/>
      <c r="D366" s="167"/>
    </row>
    <row r="367" spans="2:4">
      <c r="B367" s="166"/>
      <c r="C367" s="173"/>
      <c r="D367" s="167"/>
    </row>
    <row r="368" spans="2:4">
      <c r="B368" s="166"/>
      <c r="C368" s="173"/>
      <c r="D368" s="167"/>
    </row>
    <row r="369" spans="2:4">
      <c r="B369" s="166"/>
      <c r="C369" s="173"/>
      <c r="D369" s="167"/>
    </row>
    <row r="370" spans="2:4">
      <c r="B370" s="166"/>
      <c r="C370" s="173"/>
      <c r="D370" s="167"/>
    </row>
    <row r="371" spans="2:4">
      <c r="B371" s="166"/>
      <c r="C371" s="173"/>
      <c r="D371" s="167"/>
    </row>
    <row r="372" spans="2:4">
      <c r="B372" s="166"/>
      <c r="C372" s="173"/>
      <c r="D372" s="167"/>
    </row>
    <row r="373" spans="2:4">
      <c r="B373" s="166"/>
      <c r="C373" s="173"/>
      <c r="D373" s="167"/>
    </row>
    <row r="374" spans="2:4">
      <c r="B374" s="166"/>
      <c r="C374" s="173"/>
      <c r="D374" s="167"/>
    </row>
    <row r="375" spans="2:4">
      <c r="B375" s="166"/>
      <c r="C375" s="173"/>
      <c r="D375" s="167"/>
    </row>
    <row r="376" spans="2:4">
      <c r="B376" s="166"/>
      <c r="C376" s="173"/>
      <c r="D376" s="167"/>
    </row>
    <row r="377" spans="2:4">
      <c r="B377" s="166"/>
      <c r="C377" s="173"/>
      <c r="D377" s="167"/>
    </row>
    <row r="378" spans="2:4">
      <c r="B378" s="166"/>
      <c r="C378" s="173"/>
      <c r="D378" s="167"/>
    </row>
    <row r="379" spans="2:4">
      <c r="B379" s="166"/>
      <c r="C379" s="173"/>
      <c r="D379" s="167"/>
    </row>
    <row r="380" spans="2:4">
      <c r="B380" s="166"/>
      <c r="C380" s="173"/>
      <c r="D380" s="167"/>
    </row>
    <row r="381" spans="2:4">
      <c r="B381" s="166"/>
      <c r="C381" s="173"/>
      <c r="D381" s="167"/>
    </row>
    <row r="382" spans="2:4">
      <c r="B382" s="166"/>
      <c r="C382" s="173"/>
      <c r="D382" s="167"/>
    </row>
    <row r="383" spans="2:4">
      <c r="B383" s="166"/>
      <c r="C383" s="173"/>
      <c r="D383" s="167"/>
    </row>
    <row r="384" spans="2:4">
      <c r="B384" s="166"/>
      <c r="C384" s="173"/>
      <c r="D384" s="167"/>
    </row>
    <row r="385" spans="2:4">
      <c r="B385" s="166"/>
      <c r="C385" s="173"/>
      <c r="D385" s="167"/>
    </row>
    <row r="386" spans="2:4">
      <c r="B386" s="166"/>
      <c r="C386" s="173"/>
      <c r="D386" s="167"/>
    </row>
    <row r="387" spans="2:4">
      <c r="B387" s="166"/>
      <c r="C387" s="173"/>
      <c r="D387" s="167"/>
    </row>
    <row r="388" spans="2:4">
      <c r="B388" s="166"/>
      <c r="C388" s="173"/>
      <c r="D388" s="167"/>
    </row>
    <row r="389" spans="2:4">
      <c r="B389" s="166"/>
      <c r="C389" s="173"/>
      <c r="D389" s="167"/>
    </row>
    <row r="390" spans="2:4">
      <c r="B390" s="166"/>
      <c r="C390" s="173"/>
      <c r="D390" s="167"/>
    </row>
    <row r="391" spans="2:4">
      <c r="B391" s="166"/>
      <c r="C391" s="173"/>
      <c r="D391" s="167"/>
    </row>
    <row r="392" spans="2:4">
      <c r="B392" s="166"/>
      <c r="C392" s="173"/>
      <c r="D392" s="167"/>
    </row>
    <row r="393" spans="2:4">
      <c r="B393" s="166"/>
      <c r="C393" s="173"/>
      <c r="D393" s="167"/>
    </row>
    <row r="394" spans="2:4">
      <c r="B394" s="166"/>
      <c r="C394" s="173"/>
      <c r="D394" s="167"/>
    </row>
    <row r="395" spans="2:4">
      <c r="B395" s="166"/>
      <c r="C395" s="173"/>
      <c r="D395" s="167"/>
    </row>
    <row r="396" spans="2:4">
      <c r="B396" s="166"/>
      <c r="C396" s="173"/>
      <c r="D396" s="167"/>
    </row>
    <row r="397" spans="2:4">
      <c r="B397" s="166"/>
      <c r="C397" s="173"/>
      <c r="D397" s="167"/>
    </row>
    <row r="398" spans="2:4">
      <c r="B398" s="166"/>
      <c r="C398" s="173"/>
      <c r="D398" s="167"/>
    </row>
    <row r="399" spans="2:4">
      <c r="B399" s="166"/>
      <c r="C399" s="173"/>
      <c r="D399" s="167"/>
    </row>
    <row r="400" spans="2:4">
      <c r="B400" s="166"/>
      <c r="C400" s="173"/>
      <c r="D400" s="167"/>
    </row>
    <row r="401" spans="2:4">
      <c r="B401" s="166"/>
      <c r="C401" s="173"/>
      <c r="D401" s="167"/>
    </row>
    <row r="402" spans="2:4">
      <c r="B402" s="166"/>
      <c r="C402" s="173"/>
      <c r="D402" s="167"/>
    </row>
    <row r="403" spans="2:4">
      <c r="B403" s="166"/>
      <c r="C403" s="173"/>
      <c r="D403" s="167"/>
    </row>
    <row r="404" spans="2:4">
      <c r="B404" s="166"/>
      <c r="C404" s="173"/>
      <c r="D404" s="167"/>
    </row>
    <row r="405" spans="2:4">
      <c r="B405" s="166"/>
      <c r="C405" s="173"/>
      <c r="D405" s="167"/>
    </row>
    <row r="406" spans="2:4">
      <c r="B406" s="166"/>
      <c r="C406" s="173"/>
      <c r="D406" s="167"/>
    </row>
    <row r="407" spans="2:4">
      <c r="B407" s="166"/>
      <c r="C407" s="173"/>
      <c r="D407" s="167"/>
    </row>
    <row r="408" spans="2:4">
      <c r="B408" s="166"/>
      <c r="C408" s="173"/>
      <c r="D408" s="167"/>
    </row>
    <row r="409" spans="2:4">
      <c r="B409" s="166"/>
      <c r="C409" s="173"/>
      <c r="D409" s="167"/>
    </row>
    <row r="410" spans="2:4">
      <c r="B410" s="166"/>
      <c r="C410" s="173"/>
      <c r="D410" s="167"/>
    </row>
    <row r="411" spans="2:4">
      <c r="B411" s="166"/>
      <c r="C411" s="173"/>
      <c r="D411" s="167"/>
    </row>
    <row r="412" spans="2:4">
      <c r="B412" s="166"/>
      <c r="C412" s="173"/>
      <c r="D412" s="167"/>
    </row>
    <row r="413" spans="2:4">
      <c r="B413" s="166"/>
      <c r="C413" s="173"/>
      <c r="D413" s="167"/>
    </row>
    <row r="414" spans="2:4">
      <c r="B414" s="166"/>
      <c r="C414" s="173"/>
      <c r="D414" s="167"/>
    </row>
    <row r="415" spans="2:4">
      <c r="B415" s="166"/>
      <c r="C415" s="173"/>
      <c r="D415" s="167"/>
    </row>
    <row r="416" spans="2:4">
      <c r="B416" s="166"/>
      <c r="C416" s="173"/>
      <c r="D416" s="167"/>
    </row>
    <row r="417" spans="2:4">
      <c r="B417" s="166"/>
      <c r="C417" s="173"/>
      <c r="D417" s="167"/>
    </row>
    <row r="418" spans="2:4">
      <c r="B418" s="166"/>
      <c r="C418" s="173"/>
      <c r="D418" s="167"/>
    </row>
    <row r="419" spans="2:4">
      <c r="B419" s="166"/>
      <c r="C419" s="173"/>
      <c r="D419" s="167"/>
    </row>
    <row r="420" spans="2:4">
      <c r="B420" s="166"/>
      <c r="C420" s="173"/>
      <c r="D420" s="167"/>
    </row>
    <row r="421" spans="2:4">
      <c r="B421" s="166"/>
      <c r="C421" s="173"/>
      <c r="D421" s="167"/>
    </row>
    <row r="422" spans="2:4">
      <c r="B422" s="166"/>
      <c r="C422" s="173"/>
      <c r="D422" s="167"/>
    </row>
    <row r="423" spans="2:4">
      <c r="B423" s="166"/>
      <c r="C423" s="173"/>
      <c r="D423" s="167"/>
    </row>
    <row r="424" spans="2:4">
      <c r="B424" s="166"/>
      <c r="C424" s="173"/>
      <c r="D424" s="167"/>
    </row>
    <row r="425" spans="2:4">
      <c r="B425" s="166"/>
      <c r="C425" s="173"/>
      <c r="D425" s="167"/>
    </row>
    <row r="426" spans="2:4">
      <c r="B426" s="166"/>
      <c r="C426" s="173"/>
      <c r="D426" s="167"/>
    </row>
    <row r="427" spans="2:4">
      <c r="B427" s="166"/>
      <c r="C427" s="173"/>
      <c r="D427" s="167"/>
    </row>
    <row r="428" spans="2:4">
      <c r="B428" s="166"/>
      <c r="C428" s="173"/>
      <c r="D428" s="167"/>
    </row>
    <row r="429" spans="2:4">
      <c r="B429" s="166"/>
      <c r="C429" s="173"/>
      <c r="D429" s="167"/>
    </row>
    <row r="430" spans="2:4">
      <c r="B430" s="166"/>
      <c r="C430" s="173"/>
      <c r="D430" s="167"/>
    </row>
    <row r="431" spans="2:4">
      <c r="B431" s="166"/>
      <c r="C431" s="173"/>
      <c r="D431" s="167"/>
    </row>
    <row r="432" spans="2:4">
      <c r="B432" s="166"/>
      <c r="C432" s="173"/>
      <c r="D432" s="167"/>
    </row>
    <row r="433" spans="2:4">
      <c r="B433" s="166"/>
      <c r="C433" s="173"/>
      <c r="D433" s="167"/>
    </row>
    <row r="434" spans="2:4">
      <c r="B434" s="166"/>
      <c r="C434" s="173"/>
      <c r="D434" s="167"/>
    </row>
    <row r="435" spans="2:4">
      <c r="B435" s="166"/>
      <c r="C435" s="173"/>
      <c r="D435" s="167"/>
    </row>
    <row r="436" spans="2:4">
      <c r="B436" s="166"/>
      <c r="C436" s="173"/>
      <c r="D436" s="167"/>
    </row>
    <row r="437" spans="2:4">
      <c r="B437" s="166"/>
      <c r="C437" s="173"/>
      <c r="D437" s="167"/>
    </row>
    <row r="438" spans="2:4">
      <c r="B438" s="166"/>
      <c r="C438" s="173"/>
      <c r="D438" s="167"/>
    </row>
    <row r="439" spans="2:4">
      <c r="B439" s="166"/>
      <c r="C439" s="173"/>
      <c r="D439" s="167"/>
    </row>
    <row r="440" spans="2:4">
      <c r="B440" s="166"/>
      <c r="C440" s="173"/>
      <c r="D440" s="167"/>
    </row>
    <row r="441" spans="2:4">
      <c r="B441" s="166"/>
      <c r="C441" s="173"/>
      <c r="D441" s="167"/>
    </row>
    <row r="442" spans="2:4">
      <c r="B442" s="166"/>
      <c r="C442" s="173"/>
      <c r="D442" s="167"/>
    </row>
    <row r="443" spans="2:4">
      <c r="B443" s="166"/>
      <c r="C443" s="173"/>
      <c r="D443" s="167"/>
    </row>
    <row r="444" spans="2:4">
      <c r="B444" s="166"/>
      <c r="C444" s="173"/>
      <c r="D444" s="167"/>
    </row>
    <row r="445" spans="2:4">
      <c r="B445" s="166"/>
      <c r="C445" s="173"/>
      <c r="D445" s="167"/>
    </row>
    <row r="446" spans="2:4">
      <c r="B446" s="166"/>
      <c r="C446" s="173"/>
      <c r="D446" s="167"/>
    </row>
    <row r="447" spans="2:4">
      <c r="B447" s="166"/>
      <c r="C447" s="173"/>
      <c r="D447" s="167"/>
    </row>
    <row r="448" spans="2:4">
      <c r="B448" s="166"/>
      <c r="C448" s="173"/>
      <c r="D448" s="167"/>
    </row>
    <row r="449" spans="2:4">
      <c r="B449" s="166"/>
      <c r="C449" s="173"/>
      <c r="D449" s="167"/>
    </row>
    <row r="450" spans="2:4">
      <c r="B450" s="166"/>
      <c r="C450" s="173"/>
      <c r="D450" s="167"/>
    </row>
    <row r="451" spans="2:4">
      <c r="B451" s="166"/>
      <c r="C451" s="173"/>
      <c r="D451" s="167"/>
    </row>
    <row r="452" spans="2:4">
      <c r="B452" s="166"/>
      <c r="C452" s="173"/>
      <c r="D452" s="167"/>
    </row>
    <row r="453" spans="2:4">
      <c r="B453" s="166"/>
      <c r="C453" s="173"/>
      <c r="D453" s="167"/>
    </row>
    <row r="454" spans="2:4">
      <c r="B454" s="166"/>
      <c r="C454" s="173"/>
      <c r="D454" s="167"/>
    </row>
    <row r="455" spans="2:4">
      <c r="B455" s="166"/>
      <c r="C455" s="173"/>
      <c r="D455" s="167"/>
    </row>
    <row r="456" spans="2:4">
      <c r="B456" s="166"/>
      <c r="C456" s="173"/>
      <c r="D456" s="167"/>
    </row>
    <row r="457" spans="2:4">
      <c r="B457" s="166"/>
      <c r="C457" s="173"/>
      <c r="D457" s="167"/>
    </row>
    <row r="458" spans="2:4">
      <c r="B458" s="166"/>
      <c r="C458" s="173"/>
      <c r="D458" s="167"/>
    </row>
    <row r="459" spans="2:4">
      <c r="B459" s="166"/>
      <c r="C459" s="173"/>
      <c r="D459" s="167"/>
    </row>
    <row r="460" spans="2:4">
      <c r="B460" s="166"/>
      <c r="C460" s="173"/>
      <c r="D460" s="167"/>
    </row>
    <row r="461" spans="2:4">
      <c r="B461" s="166"/>
      <c r="C461" s="173"/>
      <c r="D461" s="167"/>
    </row>
    <row r="462" spans="2:4">
      <c r="B462" s="166"/>
      <c r="C462" s="173"/>
      <c r="D462" s="167"/>
    </row>
    <row r="463" spans="2:4">
      <c r="B463" s="166"/>
      <c r="C463" s="173"/>
      <c r="D463" s="167"/>
    </row>
    <row r="464" spans="2:4">
      <c r="B464" s="166"/>
      <c r="C464" s="173"/>
      <c r="D464" s="167"/>
    </row>
    <row r="465" spans="2:4">
      <c r="B465" s="166"/>
      <c r="C465" s="173"/>
      <c r="D465" s="167"/>
    </row>
    <row r="466" spans="2:4">
      <c r="B466" s="166"/>
      <c r="C466" s="173"/>
      <c r="D466" s="167"/>
    </row>
    <row r="467" spans="2:4">
      <c r="B467" s="166"/>
      <c r="C467" s="173"/>
      <c r="D467" s="167"/>
    </row>
    <row r="468" spans="2:4">
      <c r="B468" s="166"/>
      <c r="C468" s="173"/>
      <c r="D468" s="167"/>
    </row>
    <row r="469" spans="2:4">
      <c r="B469" s="166"/>
      <c r="C469" s="173"/>
      <c r="D469" s="167"/>
    </row>
    <row r="470" spans="2:4">
      <c r="B470" s="166"/>
      <c r="C470" s="173"/>
      <c r="D470" s="167"/>
    </row>
    <row r="471" spans="2:4">
      <c r="B471" s="166"/>
      <c r="C471" s="173"/>
      <c r="D471" s="167"/>
    </row>
    <row r="472" spans="2:4">
      <c r="B472" s="166"/>
      <c r="C472" s="173"/>
      <c r="D472" s="167"/>
    </row>
    <row r="473" spans="2:4">
      <c r="B473" s="166"/>
      <c r="C473" s="173"/>
      <c r="D473" s="167"/>
    </row>
    <row r="474" spans="2:4">
      <c r="B474" s="166"/>
      <c r="C474" s="173"/>
      <c r="D474" s="167"/>
    </row>
    <row r="475" spans="2:4">
      <c r="B475" s="166"/>
      <c r="C475" s="173"/>
      <c r="D475" s="167"/>
    </row>
    <row r="476" spans="2:4">
      <c r="B476" s="166"/>
      <c r="C476" s="173"/>
      <c r="D476" s="167"/>
    </row>
    <row r="477" spans="2:4">
      <c r="B477" s="166"/>
      <c r="C477" s="173"/>
      <c r="D477" s="167"/>
    </row>
    <row r="478" spans="2:4">
      <c r="B478" s="166"/>
      <c r="C478" s="173"/>
      <c r="D478" s="167"/>
    </row>
    <row r="479" spans="2:4">
      <c r="B479" s="166"/>
      <c r="C479" s="173"/>
      <c r="D479" s="167"/>
    </row>
    <row r="480" spans="2:4">
      <c r="B480" s="166"/>
      <c r="C480" s="173"/>
      <c r="D480" s="167"/>
    </row>
    <row r="481" spans="2:4">
      <c r="B481" s="166"/>
      <c r="C481" s="173"/>
      <c r="D481" s="167"/>
    </row>
    <row r="482" spans="2:4">
      <c r="B482" s="166"/>
      <c r="C482" s="173"/>
      <c r="D482" s="167"/>
    </row>
    <row r="483" spans="2:4">
      <c r="B483" s="166"/>
      <c r="C483" s="173"/>
      <c r="D483" s="167"/>
    </row>
    <row r="484" spans="2:4">
      <c r="B484" s="166"/>
      <c r="C484" s="173"/>
      <c r="D484" s="167"/>
    </row>
    <row r="485" spans="2:4">
      <c r="B485" s="166"/>
      <c r="C485" s="173"/>
      <c r="D485" s="167"/>
    </row>
    <row r="486" spans="2:4">
      <c r="B486" s="166"/>
      <c r="C486" s="173"/>
      <c r="D486" s="167"/>
    </row>
    <row r="487" spans="2:4">
      <c r="B487" s="166"/>
      <c r="C487" s="173"/>
      <c r="D487" s="167"/>
    </row>
    <row r="488" spans="2:4">
      <c r="B488" s="166"/>
      <c r="C488" s="173"/>
      <c r="D488" s="167"/>
    </row>
    <row r="489" spans="2:4">
      <c r="B489" s="166"/>
      <c r="C489" s="173"/>
      <c r="D489" s="167"/>
    </row>
    <row r="490" spans="2:4">
      <c r="B490" s="166"/>
      <c r="C490" s="173"/>
      <c r="D490" s="167"/>
    </row>
    <row r="491" spans="2:4">
      <c r="B491" s="166"/>
      <c r="C491" s="173"/>
      <c r="D491" s="167"/>
    </row>
    <row r="492" spans="2:4">
      <c r="B492" s="166"/>
      <c r="C492" s="173"/>
      <c r="D492" s="167"/>
    </row>
    <row r="493" spans="2:4">
      <c r="B493" s="166"/>
      <c r="C493" s="173"/>
      <c r="D493" s="167"/>
    </row>
    <row r="494" spans="2:4">
      <c r="B494" s="166"/>
      <c r="C494" s="173"/>
      <c r="D494" s="167"/>
    </row>
    <row r="495" spans="2:4">
      <c r="B495" s="166"/>
      <c r="C495" s="173"/>
      <c r="D495" s="167"/>
    </row>
    <row r="496" spans="2:4">
      <c r="B496" s="166"/>
      <c r="C496" s="173"/>
      <c r="D496" s="167"/>
    </row>
    <row r="497" spans="2:4">
      <c r="B497" s="166"/>
      <c r="C497" s="173"/>
      <c r="D497" s="167"/>
    </row>
    <row r="498" spans="2:4">
      <c r="B498" s="166"/>
      <c r="C498" s="173"/>
      <c r="D498" s="167"/>
    </row>
    <row r="499" spans="2:4">
      <c r="B499" s="166"/>
      <c r="C499" s="173"/>
      <c r="D499" s="167"/>
    </row>
    <row r="500" spans="2:4">
      <c r="B500" s="166"/>
      <c r="C500" s="173"/>
      <c r="D500" s="167"/>
    </row>
    <row r="501" spans="2:4">
      <c r="B501" s="166"/>
      <c r="C501" s="173"/>
      <c r="D501" s="167"/>
    </row>
    <row r="502" spans="2:4">
      <c r="B502" s="166"/>
      <c r="C502" s="173"/>
      <c r="D502" s="167"/>
    </row>
    <row r="503" spans="2:4">
      <c r="B503" s="166"/>
      <c r="C503" s="173"/>
      <c r="D503" s="167"/>
    </row>
    <row r="504" spans="2:4">
      <c r="B504" s="166"/>
      <c r="C504" s="173"/>
      <c r="D504" s="167"/>
    </row>
    <row r="505" spans="2:4">
      <c r="B505" s="166"/>
      <c r="C505" s="173"/>
      <c r="D505" s="167"/>
    </row>
    <row r="506" spans="2:4">
      <c r="B506" s="166"/>
      <c r="C506" s="173"/>
      <c r="D506" s="167"/>
    </row>
    <row r="507" spans="2:4">
      <c r="B507" s="166"/>
      <c r="C507" s="173"/>
      <c r="D507" s="167"/>
    </row>
    <row r="508" spans="2:4">
      <c r="B508" s="166"/>
      <c r="C508" s="173"/>
      <c r="D508" s="167"/>
    </row>
    <row r="509" spans="2:4">
      <c r="B509" s="166"/>
      <c r="C509" s="173"/>
      <c r="D509" s="167"/>
    </row>
    <row r="510" spans="2:4">
      <c r="B510" s="166"/>
      <c r="C510" s="173"/>
      <c r="D510" s="167"/>
    </row>
    <row r="511" spans="2:4">
      <c r="B511" s="166"/>
      <c r="C511" s="173"/>
      <c r="D511" s="167"/>
    </row>
    <row r="512" spans="2:4">
      <c r="B512" s="166"/>
      <c r="C512" s="173"/>
      <c r="D512" s="167"/>
    </row>
    <row r="513" spans="2:4">
      <c r="B513" s="166"/>
      <c r="C513" s="173"/>
      <c r="D513" s="167"/>
    </row>
    <row r="514" spans="2:4">
      <c r="B514" s="166"/>
      <c r="C514" s="173"/>
      <c r="D514" s="167"/>
    </row>
    <row r="515" spans="2:4">
      <c r="B515" s="166"/>
      <c r="C515" s="173"/>
      <c r="D515" s="167"/>
    </row>
    <row r="516" spans="2:4">
      <c r="B516" s="166"/>
      <c r="C516" s="173"/>
      <c r="D516" s="167"/>
    </row>
    <row r="517" spans="2:4">
      <c r="B517" s="166"/>
      <c r="C517" s="173"/>
      <c r="D517" s="167"/>
    </row>
    <row r="518" spans="2:4">
      <c r="B518" s="166"/>
      <c r="C518" s="173"/>
      <c r="D518" s="167"/>
    </row>
    <row r="519" spans="2:4">
      <c r="B519" s="166"/>
      <c r="C519" s="173"/>
      <c r="D519" s="167"/>
    </row>
    <row r="520" spans="2:4">
      <c r="B520" s="166"/>
      <c r="C520" s="173"/>
      <c r="D520" s="167"/>
    </row>
    <row r="521" spans="2:4">
      <c r="B521" s="166"/>
      <c r="C521" s="173"/>
      <c r="D521" s="167"/>
    </row>
    <row r="522" spans="2:4">
      <c r="B522" s="166"/>
      <c r="C522" s="173"/>
      <c r="D522" s="167"/>
    </row>
    <row r="523" spans="2:4">
      <c r="B523" s="166"/>
      <c r="C523" s="173"/>
      <c r="D523" s="167"/>
    </row>
    <row r="524" spans="2:4">
      <c r="B524" s="166"/>
      <c r="C524" s="173"/>
      <c r="D524" s="167"/>
    </row>
    <row r="525" spans="2:4">
      <c r="B525" s="166"/>
      <c r="C525" s="173"/>
      <c r="D525" s="167"/>
    </row>
    <row r="526" spans="2:4">
      <c r="B526" s="166"/>
      <c r="C526" s="173"/>
      <c r="D526" s="167"/>
    </row>
    <row r="527" spans="2:4">
      <c r="B527" s="166"/>
      <c r="C527" s="173"/>
      <c r="D527" s="167"/>
    </row>
    <row r="528" spans="2:4">
      <c r="B528" s="166"/>
      <c r="C528" s="173"/>
      <c r="D528" s="167"/>
    </row>
    <row r="529" spans="2:4">
      <c r="B529" s="166"/>
      <c r="C529" s="173"/>
      <c r="D529" s="167"/>
    </row>
    <row r="530" spans="2:4">
      <c r="B530" s="166"/>
      <c r="C530" s="173"/>
      <c r="D530" s="167"/>
    </row>
    <row r="531" spans="2:4">
      <c r="B531" s="166"/>
      <c r="C531" s="173"/>
      <c r="D531" s="167"/>
    </row>
    <row r="532" spans="2:4">
      <c r="B532" s="166"/>
      <c r="C532" s="173"/>
      <c r="D532" s="167"/>
    </row>
    <row r="533" spans="2:4">
      <c r="B533" s="166"/>
      <c r="C533" s="173"/>
      <c r="D533" s="167"/>
    </row>
    <row r="534" spans="2:4">
      <c r="B534" s="166"/>
      <c r="C534" s="173"/>
      <c r="D534" s="167"/>
    </row>
    <row r="535" spans="2:4">
      <c r="B535" s="166"/>
      <c r="C535" s="173"/>
      <c r="D535" s="167"/>
    </row>
    <row r="536" spans="2:4">
      <c r="B536" s="166"/>
      <c r="C536" s="173"/>
      <c r="D536" s="167"/>
    </row>
    <row r="537" spans="2:4">
      <c r="B537" s="166"/>
      <c r="C537" s="173"/>
      <c r="D537" s="167"/>
    </row>
    <row r="538" spans="2:4">
      <c r="B538" s="166"/>
      <c r="C538" s="173"/>
      <c r="D538" s="167"/>
    </row>
    <row r="539" spans="2:4">
      <c r="B539" s="166"/>
      <c r="C539" s="173"/>
      <c r="D539" s="167"/>
    </row>
    <row r="540" spans="2:4">
      <c r="B540" s="166"/>
      <c r="C540" s="173"/>
      <c r="D540" s="167"/>
    </row>
    <row r="541" spans="2:4">
      <c r="B541" s="166"/>
      <c r="C541" s="173"/>
      <c r="D541" s="167"/>
    </row>
    <row r="542" spans="2:4">
      <c r="B542" s="166"/>
      <c r="C542" s="173"/>
      <c r="D542" s="167"/>
    </row>
    <row r="543" spans="2:4">
      <c r="B543" s="166"/>
      <c r="C543" s="173"/>
      <c r="D543" s="167"/>
    </row>
    <row r="544" spans="2:4">
      <c r="B544" s="166"/>
      <c r="C544" s="173"/>
      <c r="D544" s="167"/>
    </row>
    <row r="545" spans="2:4">
      <c r="B545" s="166"/>
      <c r="C545" s="173"/>
      <c r="D545" s="167"/>
    </row>
    <row r="546" spans="2:4">
      <c r="B546" s="166"/>
      <c r="C546" s="173"/>
      <c r="D546" s="167"/>
    </row>
    <row r="547" spans="2:4">
      <c r="B547" s="166"/>
      <c r="C547" s="173"/>
      <c r="D547" s="167"/>
    </row>
    <row r="548" spans="2:4">
      <c r="B548" s="166"/>
      <c r="C548" s="173"/>
      <c r="D548" s="167"/>
    </row>
    <row r="549" spans="2:4">
      <c r="B549" s="166"/>
      <c r="C549" s="173"/>
      <c r="D549" s="167"/>
    </row>
    <row r="550" spans="2:4">
      <c r="B550" s="166"/>
      <c r="C550" s="173"/>
      <c r="D550" s="167"/>
    </row>
    <row r="551" spans="2:4">
      <c r="B551" s="166"/>
      <c r="C551" s="173"/>
      <c r="D551" s="167"/>
    </row>
    <row r="552" spans="2:4">
      <c r="B552" s="166"/>
      <c r="C552" s="173"/>
      <c r="D552" s="167"/>
    </row>
    <row r="553" spans="2:4">
      <c r="B553" s="166"/>
      <c r="C553" s="173"/>
      <c r="D553" s="167"/>
    </row>
    <row r="554" spans="2:4">
      <c r="B554" s="166"/>
      <c r="C554" s="173"/>
      <c r="D554" s="167"/>
    </row>
    <row r="555" spans="2:4">
      <c r="B555" s="166"/>
      <c r="C555" s="173"/>
      <c r="D555" s="167"/>
    </row>
    <row r="556" spans="2:4">
      <c r="B556" s="166"/>
      <c r="C556" s="173"/>
      <c r="D556" s="167"/>
    </row>
    <row r="557" spans="2:4">
      <c r="B557" s="166"/>
      <c r="C557" s="173"/>
      <c r="D557" s="167"/>
    </row>
    <row r="558" spans="2:4">
      <c r="B558" s="166"/>
      <c r="C558" s="173"/>
      <c r="D558" s="167"/>
    </row>
    <row r="559" spans="2:4">
      <c r="B559" s="166"/>
      <c r="C559" s="173"/>
      <c r="D559" s="167"/>
    </row>
    <row r="560" spans="2:4">
      <c r="B560" s="166"/>
      <c r="C560" s="173"/>
      <c r="D560" s="167"/>
    </row>
    <row r="561" spans="2:4">
      <c r="B561" s="166"/>
      <c r="C561" s="173"/>
      <c r="D561" s="167"/>
    </row>
    <row r="562" spans="2:4">
      <c r="B562" s="166"/>
      <c r="C562" s="173"/>
      <c r="D562" s="167"/>
    </row>
    <row r="563" spans="2:4">
      <c r="B563" s="166"/>
      <c r="C563" s="173"/>
      <c r="D563" s="167"/>
    </row>
    <row r="564" spans="2:4">
      <c r="B564" s="166"/>
      <c r="C564" s="173"/>
      <c r="D564" s="167"/>
    </row>
    <row r="565" spans="2:4">
      <c r="B565" s="166"/>
      <c r="C565" s="173"/>
      <c r="D565" s="167"/>
    </row>
    <row r="566" spans="2:4">
      <c r="B566" s="166"/>
      <c r="C566" s="173"/>
      <c r="D566" s="167"/>
    </row>
    <row r="567" spans="2:4">
      <c r="B567" s="166"/>
      <c r="C567" s="173"/>
      <c r="D567" s="167"/>
    </row>
    <row r="568" spans="2:4">
      <c r="B568" s="166"/>
      <c r="C568" s="173"/>
      <c r="D568" s="167"/>
    </row>
    <row r="569" spans="2:4">
      <c r="B569" s="166"/>
      <c r="C569" s="173"/>
      <c r="D569" s="167"/>
    </row>
    <row r="570" spans="2:4">
      <c r="B570" s="166"/>
      <c r="C570" s="173"/>
      <c r="D570" s="167"/>
    </row>
    <row r="571" spans="2:4">
      <c r="B571" s="166"/>
      <c r="C571" s="173"/>
      <c r="D571" s="167"/>
    </row>
    <row r="572" spans="2:4">
      <c r="B572" s="166"/>
      <c r="C572" s="173"/>
      <c r="D572" s="167"/>
    </row>
    <row r="573" spans="2:4">
      <c r="B573" s="166"/>
      <c r="C573" s="173"/>
      <c r="D573" s="167"/>
    </row>
    <row r="574" spans="2:4">
      <c r="B574" s="166"/>
      <c r="C574" s="173"/>
      <c r="D574" s="167"/>
    </row>
    <row r="575" spans="2:4">
      <c r="B575" s="166"/>
      <c r="C575" s="173"/>
      <c r="D575" s="167"/>
    </row>
    <row r="576" spans="2:4">
      <c r="B576" s="166"/>
      <c r="C576" s="173"/>
      <c r="D576" s="167"/>
    </row>
    <row r="577" spans="2:4">
      <c r="B577" s="166"/>
      <c r="C577" s="173"/>
      <c r="D577" s="167"/>
    </row>
    <row r="578" spans="2:4">
      <c r="B578" s="166"/>
      <c r="C578" s="173"/>
      <c r="D578" s="167"/>
    </row>
    <row r="579" spans="2:4">
      <c r="B579" s="166"/>
      <c r="C579" s="173"/>
      <c r="D579" s="167"/>
    </row>
    <row r="580" spans="2:4">
      <c r="B580" s="166"/>
      <c r="C580" s="173"/>
      <c r="D580" s="167"/>
    </row>
    <row r="581" spans="2:4">
      <c r="B581" s="166"/>
      <c r="C581" s="173"/>
      <c r="D581" s="167"/>
    </row>
    <row r="582" spans="2:4">
      <c r="B582" s="166"/>
      <c r="C582" s="173"/>
      <c r="D582" s="167"/>
    </row>
    <row r="583" spans="2:4">
      <c r="B583" s="166"/>
      <c r="C583" s="173"/>
      <c r="D583" s="167"/>
    </row>
    <row r="584" spans="2:4">
      <c r="B584" s="166"/>
      <c r="C584" s="173"/>
      <c r="D584" s="167"/>
    </row>
    <row r="585" spans="2:4">
      <c r="B585" s="166"/>
      <c r="C585" s="173"/>
      <c r="D585" s="167"/>
    </row>
    <row r="586" spans="2:4">
      <c r="B586" s="166"/>
      <c r="C586" s="173"/>
      <c r="D586" s="167"/>
    </row>
    <row r="587" spans="2:4">
      <c r="B587" s="166"/>
      <c r="C587" s="173"/>
      <c r="D587" s="167"/>
    </row>
    <row r="588" spans="2:4">
      <c r="B588" s="166"/>
      <c r="C588" s="173"/>
      <c r="D588" s="167"/>
    </row>
    <row r="589" spans="2:4">
      <c r="B589" s="166"/>
      <c r="C589" s="173"/>
      <c r="D589" s="167"/>
    </row>
    <row r="590" spans="2:4">
      <c r="B590" s="166"/>
      <c r="C590" s="173"/>
      <c r="D590" s="167"/>
    </row>
    <row r="591" spans="2:4">
      <c r="B591" s="166"/>
      <c r="C591" s="173"/>
      <c r="D591" s="167"/>
    </row>
    <row r="592" spans="2:4">
      <c r="B592" s="166"/>
      <c r="C592" s="173"/>
      <c r="D592" s="167"/>
    </row>
    <row r="593" spans="2:4">
      <c r="B593" s="166"/>
      <c r="C593" s="173"/>
      <c r="D593" s="167"/>
    </row>
    <row r="594" spans="2:4">
      <c r="B594" s="166"/>
      <c r="C594" s="173"/>
      <c r="D594" s="167"/>
    </row>
    <row r="595" spans="2:4">
      <c r="B595" s="166"/>
      <c r="C595" s="173"/>
      <c r="D595" s="167"/>
    </row>
    <row r="596" spans="2:4">
      <c r="B596" s="166"/>
      <c r="C596" s="173"/>
      <c r="D596" s="167"/>
    </row>
    <row r="597" spans="2:4">
      <c r="B597" s="166"/>
      <c r="C597" s="173"/>
      <c r="D597" s="167"/>
    </row>
    <row r="598" spans="2:4">
      <c r="B598" s="166"/>
      <c r="C598" s="173"/>
      <c r="D598" s="167"/>
    </row>
    <row r="599" spans="2:4">
      <c r="B599" s="166"/>
      <c r="C599" s="173"/>
      <c r="D599" s="167"/>
    </row>
    <row r="600" spans="2:4">
      <c r="B600" s="166"/>
      <c r="C600" s="173"/>
      <c r="D600" s="167"/>
    </row>
    <row r="601" spans="2:4">
      <c r="B601" s="166"/>
      <c r="C601" s="173"/>
      <c r="D601" s="167"/>
    </row>
    <row r="602" spans="2:4">
      <c r="B602" s="166"/>
      <c r="C602" s="173"/>
      <c r="D602" s="167"/>
    </row>
    <row r="603" spans="2:4">
      <c r="B603" s="166"/>
      <c r="C603" s="173"/>
      <c r="D603" s="167"/>
    </row>
    <row r="604" spans="2:4">
      <c r="B604" s="166"/>
      <c r="C604" s="173"/>
      <c r="D604" s="167"/>
    </row>
    <row r="605" spans="2:4">
      <c r="B605" s="166"/>
      <c r="C605" s="173"/>
      <c r="D605" s="167"/>
    </row>
    <row r="606" spans="2:4">
      <c r="B606" s="166"/>
      <c r="C606" s="173"/>
      <c r="D606" s="167"/>
    </row>
    <row r="607" spans="2:4">
      <c r="B607" s="166"/>
      <c r="C607" s="173"/>
      <c r="D607" s="167"/>
    </row>
    <row r="608" spans="2:4">
      <c r="B608" s="166"/>
      <c r="C608" s="173"/>
      <c r="D608" s="167"/>
    </row>
    <row r="609" spans="2:4">
      <c r="B609" s="166"/>
      <c r="C609" s="173"/>
      <c r="D609" s="167"/>
    </row>
    <row r="610" spans="2:4">
      <c r="B610" s="166"/>
      <c r="C610" s="173"/>
      <c r="D610" s="167"/>
    </row>
    <row r="611" spans="2:4">
      <c r="B611" s="166"/>
      <c r="C611" s="173"/>
      <c r="D611" s="167"/>
    </row>
    <row r="612" spans="2:4">
      <c r="B612" s="166"/>
      <c r="C612" s="173"/>
      <c r="D612" s="167"/>
    </row>
    <row r="613" spans="2:4">
      <c r="B613" s="166"/>
      <c r="C613" s="173"/>
      <c r="D613" s="167"/>
    </row>
    <row r="614" spans="2:4">
      <c r="B614" s="166"/>
      <c r="C614" s="173"/>
      <c r="D614" s="167"/>
    </row>
    <row r="615" spans="2:4">
      <c r="B615" s="166"/>
      <c r="C615" s="173"/>
      <c r="D615" s="167"/>
    </row>
    <row r="616" spans="2:4">
      <c r="B616" s="166"/>
      <c r="C616" s="173"/>
      <c r="D616" s="167"/>
    </row>
    <row r="617" spans="2:4">
      <c r="B617" s="166"/>
      <c r="C617" s="173"/>
      <c r="D617" s="167"/>
    </row>
    <row r="618" spans="2:4">
      <c r="B618" s="166"/>
      <c r="C618" s="173"/>
      <c r="D618" s="167"/>
    </row>
    <row r="619" spans="2:4">
      <c r="B619" s="166"/>
      <c r="C619" s="173"/>
      <c r="D619" s="167"/>
    </row>
    <row r="620" spans="2:4">
      <c r="B620" s="166"/>
      <c r="C620" s="173"/>
      <c r="D620" s="167"/>
    </row>
    <row r="621" spans="2:4">
      <c r="B621" s="166"/>
      <c r="C621" s="173"/>
      <c r="D621" s="167"/>
    </row>
    <row r="622" spans="2:4">
      <c r="B622" s="166"/>
      <c r="C622" s="173"/>
      <c r="D622" s="167"/>
    </row>
    <row r="623" spans="2:4">
      <c r="B623" s="166"/>
      <c r="C623" s="173"/>
      <c r="D623" s="167"/>
    </row>
    <row r="624" spans="2:4">
      <c r="B624" s="166"/>
      <c r="C624" s="173"/>
      <c r="D624" s="167"/>
    </row>
    <row r="625" spans="2:4">
      <c r="B625" s="166"/>
      <c r="C625" s="173"/>
      <c r="D625" s="167"/>
    </row>
    <row r="626" spans="2:4">
      <c r="B626" s="166"/>
      <c r="C626" s="173"/>
      <c r="D626" s="167"/>
    </row>
    <row r="627" spans="2:4">
      <c r="B627" s="166"/>
      <c r="C627" s="173"/>
      <c r="D627" s="167"/>
    </row>
    <row r="628" spans="2:4">
      <c r="B628" s="166"/>
      <c r="C628" s="173"/>
      <c r="D628" s="167"/>
    </row>
    <row r="629" spans="2:4">
      <c r="B629" s="166"/>
      <c r="C629" s="173"/>
      <c r="D629" s="167"/>
    </row>
    <row r="630" spans="2:4">
      <c r="B630" s="166"/>
      <c r="C630" s="173"/>
      <c r="D630" s="167"/>
    </row>
    <row r="631" spans="2:4">
      <c r="B631" s="166"/>
      <c r="C631" s="173"/>
      <c r="D631" s="167"/>
    </row>
    <row r="632" spans="2:4">
      <c r="B632" s="166"/>
      <c r="C632" s="173"/>
      <c r="D632" s="167"/>
    </row>
    <row r="633" spans="2:4">
      <c r="B633" s="166"/>
      <c r="C633" s="173"/>
      <c r="D633" s="167"/>
    </row>
    <row r="634" spans="2:4">
      <c r="B634" s="166"/>
      <c r="C634" s="173"/>
      <c r="D634" s="167"/>
    </row>
    <row r="635" spans="2:4">
      <c r="B635" s="166"/>
      <c r="C635" s="173"/>
      <c r="D635" s="167"/>
    </row>
    <row r="636" spans="2:4">
      <c r="B636" s="166"/>
      <c r="C636" s="173"/>
      <c r="D636" s="167"/>
    </row>
    <row r="637" spans="2:4">
      <c r="B637" s="166"/>
      <c r="C637" s="173"/>
      <c r="D637" s="167"/>
    </row>
    <row r="638" spans="2:4">
      <c r="B638" s="166"/>
      <c r="C638" s="173"/>
      <c r="D638" s="167"/>
    </row>
    <row r="639" spans="2:4">
      <c r="B639" s="166"/>
      <c r="C639" s="173"/>
      <c r="D639" s="167"/>
    </row>
    <row r="640" spans="2:4">
      <c r="B640" s="166"/>
      <c r="C640" s="173"/>
      <c r="D640" s="167"/>
    </row>
    <row r="641" spans="2:4">
      <c r="B641" s="166"/>
      <c r="C641" s="173"/>
      <c r="D641" s="167"/>
    </row>
    <row r="642" spans="2:4">
      <c r="B642" s="166"/>
      <c r="C642" s="173"/>
      <c r="D642" s="167"/>
    </row>
    <row r="643" spans="2:4">
      <c r="B643" s="166"/>
      <c r="C643" s="173"/>
      <c r="D643" s="167"/>
    </row>
    <row r="644" spans="2:4">
      <c r="B644" s="166"/>
      <c r="C644" s="173"/>
      <c r="D644" s="167"/>
    </row>
    <row r="645" spans="2:4">
      <c r="B645" s="166"/>
      <c r="C645" s="173"/>
      <c r="D645" s="167"/>
    </row>
    <row r="646" spans="2:4">
      <c r="B646" s="166"/>
      <c r="C646" s="173"/>
      <c r="D646" s="167"/>
    </row>
    <row r="647" spans="2:4">
      <c r="B647" s="166"/>
      <c r="C647" s="173"/>
      <c r="D647" s="167"/>
    </row>
    <row r="648" spans="2:4">
      <c r="B648" s="166"/>
      <c r="C648" s="173"/>
      <c r="D648" s="167"/>
    </row>
    <row r="649" spans="2:4">
      <c r="B649" s="166"/>
      <c r="C649" s="173"/>
      <c r="D649" s="167"/>
    </row>
    <row r="650" spans="2:4">
      <c r="B650" s="166"/>
      <c r="C650" s="173"/>
      <c r="D650" s="167"/>
    </row>
    <row r="651" spans="2:4">
      <c r="B651" s="166"/>
      <c r="C651" s="173"/>
      <c r="D651" s="167"/>
    </row>
    <row r="652" spans="2:4">
      <c r="B652" s="166"/>
      <c r="C652" s="173"/>
      <c r="D652" s="167"/>
    </row>
    <row r="653" spans="2:4">
      <c r="B653" s="166"/>
      <c r="C653" s="173"/>
      <c r="D653" s="167"/>
    </row>
    <row r="654" spans="2:4">
      <c r="B654" s="166"/>
      <c r="C654" s="173"/>
      <c r="D654" s="167"/>
    </row>
    <row r="655" spans="2:4">
      <c r="B655" s="166"/>
      <c r="C655" s="173"/>
      <c r="D655" s="167"/>
    </row>
    <row r="656" spans="2:4">
      <c r="B656" s="166"/>
      <c r="C656" s="173"/>
      <c r="D656" s="167"/>
    </row>
    <row r="657" spans="2:4">
      <c r="B657" s="166"/>
      <c r="C657" s="173"/>
      <c r="D657" s="167"/>
    </row>
    <row r="658" spans="2:4">
      <c r="B658" s="166"/>
      <c r="C658" s="173"/>
      <c r="D658" s="167"/>
    </row>
    <row r="659" spans="2:4">
      <c r="B659" s="166"/>
      <c r="C659" s="173"/>
      <c r="D659" s="167"/>
    </row>
    <row r="660" spans="2:4">
      <c r="B660" s="166"/>
      <c r="C660" s="173"/>
      <c r="D660" s="167"/>
    </row>
    <row r="661" spans="2:4">
      <c r="B661" s="166"/>
      <c r="C661" s="173"/>
      <c r="D661" s="167"/>
    </row>
    <row r="662" spans="2:4">
      <c r="B662" s="166"/>
      <c r="C662" s="173"/>
      <c r="D662" s="167"/>
    </row>
    <row r="663" spans="2:4">
      <c r="B663" s="166"/>
      <c r="C663" s="173"/>
      <c r="D663" s="167"/>
    </row>
    <row r="664" spans="2:4">
      <c r="B664" s="166"/>
      <c r="C664" s="173"/>
      <c r="D664" s="167"/>
    </row>
    <row r="665" spans="2:4">
      <c r="B665" s="166"/>
      <c r="C665" s="173"/>
      <c r="D665" s="167"/>
    </row>
    <row r="666" spans="2:4">
      <c r="B666" s="166"/>
      <c r="C666" s="173"/>
      <c r="D666" s="167"/>
    </row>
    <row r="667" spans="2:4">
      <c r="B667" s="166"/>
      <c r="C667" s="173"/>
      <c r="D667" s="167"/>
    </row>
    <row r="668" spans="2:4">
      <c r="B668" s="166"/>
      <c r="C668" s="173"/>
      <c r="D668" s="167"/>
    </row>
    <row r="669" spans="2:4">
      <c r="B669" s="166"/>
      <c r="C669" s="173"/>
      <c r="D669" s="167"/>
    </row>
    <row r="670" spans="2:4">
      <c r="B670" s="166"/>
      <c r="C670" s="173"/>
      <c r="D670" s="167"/>
    </row>
    <row r="671" spans="2:4">
      <c r="B671" s="166"/>
      <c r="C671" s="173"/>
      <c r="D671" s="167"/>
    </row>
    <row r="672" spans="2:4">
      <c r="B672" s="166"/>
      <c r="C672" s="173"/>
      <c r="D672" s="167"/>
    </row>
    <row r="673" spans="2:4">
      <c r="B673" s="166"/>
      <c r="C673" s="173"/>
      <c r="D673" s="167"/>
    </row>
    <row r="674" spans="2:4">
      <c r="B674" s="166"/>
      <c r="C674" s="173"/>
      <c r="D674" s="167"/>
    </row>
    <row r="675" spans="2:4">
      <c r="B675" s="166"/>
      <c r="C675" s="173"/>
      <c r="D675" s="167"/>
    </row>
    <row r="676" spans="2:4">
      <c r="B676" s="166"/>
      <c r="C676" s="173"/>
      <c r="D676" s="167"/>
    </row>
    <row r="677" spans="2:4">
      <c r="B677" s="166"/>
      <c r="C677" s="173"/>
      <c r="D677" s="167"/>
    </row>
    <row r="678" spans="2:4">
      <c r="B678" s="166"/>
      <c r="C678" s="173"/>
      <c r="D678" s="167"/>
    </row>
    <row r="679" spans="2:4">
      <c r="B679" s="166"/>
      <c r="C679" s="173"/>
      <c r="D679" s="167"/>
    </row>
    <row r="680" spans="2:4">
      <c r="B680" s="166"/>
      <c r="C680" s="173"/>
      <c r="D680" s="167"/>
    </row>
    <row r="681" spans="2:4">
      <c r="B681" s="166"/>
      <c r="C681" s="173"/>
      <c r="D681" s="167"/>
    </row>
    <row r="682" spans="2:4">
      <c r="B682" s="166"/>
      <c r="C682" s="173"/>
      <c r="D682" s="167"/>
    </row>
    <row r="683" spans="2:4">
      <c r="B683" s="166"/>
      <c r="C683" s="173"/>
      <c r="D683" s="167"/>
    </row>
    <row r="684" spans="2:4">
      <c r="B684" s="166"/>
      <c r="C684" s="173"/>
      <c r="D684" s="167"/>
    </row>
    <row r="685" spans="2:4">
      <c r="B685" s="166"/>
      <c r="C685" s="173"/>
      <c r="D685" s="167"/>
    </row>
    <row r="686" spans="2:4">
      <c r="B686" s="166"/>
      <c r="C686" s="173"/>
      <c r="D686" s="167"/>
    </row>
    <row r="687" spans="2:4">
      <c r="B687" s="166"/>
      <c r="C687" s="173"/>
      <c r="D687" s="167"/>
    </row>
    <row r="688" spans="2:4">
      <c r="B688" s="166"/>
      <c r="C688" s="173"/>
      <c r="D688" s="167"/>
    </row>
    <row r="689" spans="2:4">
      <c r="B689" s="166"/>
      <c r="C689" s="173"/>
      <c r="D689" s="167"/>
    </row>
    <row r="690" spans="2:4">
      <c r="B690" s="166"/>
      <c r="C690" s="173"/>
      <c r="D690" s="167"/>
    </row>
    <row r="691" spans="2:4">
      <c r="B691" s="166"/>
      <c r="C691" s="173"/>
      <c r="D691" s="167"/>
    </row>
    <row r="692" spans="2:4">
      <c r="B692" s="166"/>
      <c r="C692" s="173"/>
      <c r="D692" s="167"/>
    </row>
    <row r="693" spans="2:4">
      <c r="B693" s="166"/>
      <c r="C693" s="173"/>
      <c r="D693" s="167"/>
    </row>
    <row r="694" spans="2:4">
      <c r="B694" s="166"/>
      <c r="C694" s="173"/>
      <c r="D694" s="167"/>
    </row>
    <row r="695" spans="2:4">
      <c r="B695" s="166"/>
      <c r="C695" s="173"/>
      <c r="D695" s="167"/>
    </row>
    <row r="696" spans="2:4">
      <c r="B696" s="166"/>
      <c r="C696" s="173"/>
      <c r="D696" s="167"/>
    </row>
    <row r="697" spans="2:4">
      <c r="B697" s="166"/>
      <c r="C697" s="173"/>
      <c r="D697" s="167"/>
    </row>
    <row r="698" spans="2:4">
      <c r="B698" s="166"/>
      <c r="C698" s="173"/>
      <c r="D698" s="167"/>
    </row>
    <row r="699" spans="2:4">
      <c r="B699" s="166"/>
      <c r="C699" s="173"/>
      <c r="D699" s="167"/>
    </row>
    <row r="700" spans="2:4">
      <c r="B700" s="166"/>
      <c r="C700" s="173"/>
      <c r="D700" s="167"/>
    </row>
    <row r="701" spans="2:4">
      <c r="B701" s="166"/>
      <c r="C701" s="173"/>
      <c r="D701" s="167"/>
    </row>
    <row r="702" spans="2:4">
      <c r="B702" s="166"/>
      <c r="C702" s="173"/>
      <c r="D702" s="167"/>
    </row>
    <row r="703" spans="2:4">
      <c r="B703" s="166"/>
      <c r="C703" s="173"/>
      <c r="D703" s="167"/>
    </row>
    <row r="704" spans="2:4">
      <c r="B704" s="166"/>
      <c r="C704" s="173"/>
      <c r="D704" s="167"/>
    </row>
    <row r="705" spans="2:4">
      <c r="B705" s="166"/>
      <c r="C705" s="173"/>
      <c r="D705" s="167"/>
    </row>
    <row r="706" spans="2:4">
      <c r="B706" s="166"/>
      <c r="C706" s="173"/>
      <c r="D706" s="167"/>
    </row>
    <row r="707" spans="2:4">
      <c r="B707" s="166"/>
      <c r="C707" s="173"/>
      <c r="D707" s="167"/>
    </row>
    <row r="708" spans="2:4">
      <c r="B708" s="166"/>
      <c r="C708" s="173"/>
      <c r="D708" s="167"/>
    </row>
    <row r="709" spans="2:4">
      <c r="B709" s="166"/>
      <c r="C709" s="173"/>
      <c r="D709" s="167"/>
    </row>
    <row r="710" spans="2:4">
      <c r="B710" s="166"/>
      <c r="C710" s="173"/>
      <c r="D710" s="167"/>
    </row>
    <row r="711" spans="2:4">
      <c r="B711" s="166"/>
      <c r="C711" s="173"/>
      <c r="D711" s="167"/>
    </row>
    <row r="712" spans="2:4">
      <c r="B712" s="166"/>
      <c r="C712" s="173"/>
      <c r="D712" s="167"/>
    </row>
    <row r="713" spans="2:4">
      <c r="B713" s="166"/>
      <c r="C713" s="173"/>
      <c r="D713" s="167"/>
    </row>
    <row r="714" spans="2:4">
      <c r="B714" s="166"/>
      <c r="C714" s="173"/>
      <c r="D714" s="167"/>
    </row>
    <row r="715" spans="2:4">
      <c r="B715" s="166"/>
      <c r="C715" s="173"/>
      <c r="D715" s="167"/>
    </row>
    <row r="716" spans="2:4">
      <c r="B716" s="166"/>
      <c r="C716" s="173"/>
      <c r="D716" s="167"/>
    </row>
    <row r="717" spans="2:4">
      <c r="B717" s="166"/>
      <c r="C717" s="173"/>
      <c r="D717" s="167"/>
    </row>
    <row r="718" spans="2:4">
      <c r="B718" s="166"/>
      <c r="C718" s="173"/>
      <c r="D718" s="167"/>
    </row>
    <row r="719" spans="2:4">
      <c r="B719" s="166"/>
      <c r="C719" s="173"/>
      <c r="D719" s="167"/>
    </row>
    <row r="720" spans="2:4">
      <c r="B720" s="166"/>
      <c r="C720" s="173"/>
      <c r="D720" s="167"/>
    </row>
    <row r="721" spans="2:4">
      <c r="B721" s="166"/>
      <c r="C721" s="173"/>
      <c r="D721" s="167"/>
    </row>
    <row r="722" spans="2:4">
      <c r="B722" s="166"/>
      <c r="C722" s="173"/>
      <c r="D722" s="167"/>
    </row>
    <row r="723" spans="2:4">
      <c r="B723" s="166"/>
      <c r="C723" s="173"/>
      <c r="D723" s="167"/>
    </row>
    <row r="724" spans="2:4">
      <c r="B724" s="166"/>
      <c r="C724" s="173"/>
      <c r="D724" s="167"/>
    </row>
    <row r="725" spans="2:4">
      <c r="B725" s="166"/>
      <c r="C725" s="173"/>
      <c r="D725" s="167"/>
    </row>
    <row r="726" spans="2:4">
      <c r="B726" s="166"/>
      <c r="C726" s="173"/>
      <c r="D726" s="167"/>
    </row>
    <row r="727" spans="2:4">
      <c r="B727" s="166"/>
      <c r="C727" s="173"/>
      <c r="D727" s="167"/>
    </row>
    <row r="728" spans="2:4">
      <c r="B728" s="166"/>
      <c r="C728" s="173"/>
      <c r="D728" s="167"/>
    </row>
    <row r="729" spans="2:4">
      <c r="B729" s="166"/>
      <c r="C729" s="173"/>
      <c r="D729" s="167"/>
    </row>
    <row r="730" spans="2:4">
      <c r="B730" s="166"/>
      <c r="C730" s="173"/>
      <c r="D730" s="167"/>
    </row>
    <row r="731" spans="2:4">
      <c r="B731" s="166"/>
      <c r="C731" s="173"/>
      <c r="D731" s="167"/>
    </row>
    <row r="732" spans="2:4">
      <c r="B732" s="166"/>
      <c r="C732" s="173"/>
      <c r="D732" s="167"/>
    </row>
    <row r="733" spans="2:4">
      <c r="B733" s="166"/>
      <c r="C733" s="173"/>
      <c r="D733" s="167"/>
    </row>
    <row r="734" spans="2:4">
      <c r="B734" s="166"/>
      <c r="C734" s="173"/>
      <c r="D734" s="167"/>
    </row>
    <row r="735" spans="2:4">
      <c r="B735" s="166"/>
      <c r="C735" s="173"/>
      <c r="D735" s="167"/>
    </row>
    <row r="736" spans="2:4">
      <c r="B736" s="166"/>
      <c r="C736" s="173"/>
      <c r="D736" s="167"/>
    </row>
    <row r="737" spans="2:4">
      <c r="B737" s="166"/>
      <c r="C737" s="173"/>
      <c r="D737" s="167"/>
    </row>
    <row r="738" spans="2:4">
      <c r="B738" s="166"/>
      <c r="C738" s="173"/>
      <c r="D738" s="167"/>
    </row>
    <row r="739" spans="2:4">
      <c r="B739" s="166"/>
      <c r="C739" s="173"/>
      <c r="D739" s="167"/>
    </row>
    <row r="740" spans="2:4">
      <c r="B740" s="166"/>
      <c r="C740" s="173"/>
      <c r="D740" s="167"/>
    </row>
    <row r="741" spans="2:4">
      <c r="B741" s="166"/>
      <c r="C741" s="173"/>
      <c r="D741" s="167"/>
    </row>
    <row r="742" spans="2:4">
      <c r="B742" s="166"/>
      <c r="C742" s="173"/>
      <c r="D742" s="167"/>
    </row>
    <row r="743" spans="2:4">
      <c r="B743" s="166"/>
      <c r="C743" s="173"/>
      <c r="D743" s="167"/>
    </row>
    <row r="744" spans="2:4">
      <c r="B744" s="166"/>
      <c r="C744" s="173"/>
      <c r="D744" s="167"/>
    </row>
    <row r="745" spans="2:4">
      <c r="B745" s="166"/>
      <c r="C745" s="173"/>
      <c r="D745" s="167"/>
    </row>
    <row r="746" spans="2:4">
      <c r="B746" s="166"/>
      <c r="C746" s="173"/>
      <c r="D746" s="167"/>
    </row>
    <row r="747" spans="2:4">
      <c r="B747" s="166"/>
      <c r="C747" s="173"/>
      <c r="D747" s="167"/>
    </row>
    <row r="748" spans="2:4">
      <c r="B748" s="166"/>
      <c r="C748" s="173"/>
      <c r="D748" s="167"/>
    </row>
    <row r="749" spans="2:4">
      <c r="B749" s="166"/>
      <c r="C749" s="173"/>
      <c r="D749" s="167"/>
    </row>
    <row r="750" spans="2:4">
      <c r="B750" s="166"/>
      <c r="C750" s="173"/>
      <c r="D750" s="167"/>
    </row>
    <row r="751" spans="2:4">
      <c r="B751" s="166"/>
      <c r="C751" s="173"/>
      <c r="D751" s="167"/>
    </row>
    <row r="752" spans="2:4">
      <c r="B752" s="166"/>
      <c r="C752" s="173"/>
      <c r="D752" s="167"/>
    </row>
    <row r="753" spans="2:4">
      <c r="B753" s="166"/>
      <c r="C753" s="173"/>
      <c r="D753" s="167"/>
    </row>
    <row r="754" spans="2:4">
      <c r="B754" s="166"/>
      <c r="C754" s="173"/>
      <c r="D754" s="167"/>
    </row>
    <row r="755" spans="2:4">
      <c r="B755" s="166"/>
      <c r="C755" s="173"/>
      <c r="D755" s="167"/>
    </row>
    <row r="756" spans="2:4">
      <c r="B756" s="166"/>
      <c r="C756" s="173"/>
      <c r="D756" s="167"/>
    </row>
    <row r="757" spans="2:4">
      <c r="B757" s="166"/>
      <c r="C757" s="173"/>
      <c r="D757" s="167"/>
    </row>
    <row r="758" spans="2:4">
      <c r="B758" s="166"/>
      <c r="C758" s="173"/>
      <c r="D758" s="167"/>
    </row>
    <row r="759" spans="2:4">
      <c r="B759" s="166"/>
      <c r="C759" s="173"/>
      <c r="D759" s="167"/>
    </row>
    <row r="760" spans="2:4">
      <c r="B760" s="166"/>
      <c r="C760" s="173"/>
      <c r="D760" s="167"/>
    </row>
    <row r="761" spans="2:4">
      <c r="B761" s="166"/>
      <c r="C761" s="173"/>
      <c r="D761" s="167"/>
    </row>
    <row r="762" spans="2:4">
      <c r="B762" s="166"/>
      <c r="C762" s="173"/>
      <c r="D762" s="167"/>
    </row>
    <row r="763" spans="2:4">
      <c r="B763" s="166"/>
      <c r="C763" s="173"/>
      <c r="D763" s="167"/>
    </row>
    <row r="764" spans="2:4">
      <c r="B764" s="166"/>
      <c r="C764" s="173"/>
      <c r="D764" s="167"/>
    </row>
    <row r="765" spans="2:4">
      <c r="B765" s="166"/>
      <c r="C765" s="173"/>
      <c r="D765" s="167"/>
    </row>
    <row r="766" spans="2:4">
      <c r="B766" s="166"/>
      <c r="C766" s="173"/>
      <c r="D766" s="167"/>
    </row>
    <row r="767" spans="2:4">
      <c r="B767" s="166"/>
      <c r="C767" s="173"/>
      <c r="D767" s="167"/>
    </row>
    <row r="768" spans="2:4">
      <c r="B768" s="166"/>
      <c r="C768" s="173"/>
      <c r="D768" s="167"/>
    </row>
    <row r="769" spans="2:4">
      <c r="B769" s="166"/>
      <c r="C769" s="173"/>
      <c r="D769" s="167"/>
    </row>
    <row r="770" spans="2:4">
      <c r="B770" s="166"/>
      <c r="C770" s="173"/>
      <c r="D770" s="167"/>
    </row>
    <row r="771" spans="2:4">
      <c r="B771" s="166"/>
      <c r="C771" s="173"/>
      <c r="D771" s="167"/>
    </row>
    <row r="772" spans="2:4">
      <c r="B772" s="166"/>
      <c r="C772" s="173"/>
      <c r="D772" s="167"/>
    </row>
    <row r="773" spans="2:4">
      <c r="B773" s="166"/>
      <c r="C773" s="173"/>
      <c r="D773" s="167"/>
    </row>
    <row r="774" spans="2:4">
      <c r="B774" s="166"/>
      <c r="C774" s="173"/>
      <c r="D774" s="167"/>
    </row>
    <row r="775" spans="2:4">
      <c r="B775" s="166"/>
      <c r="C775" s="173"/>
      <c r="D775" s="167"/>
    </row>
    <row r="776" spans="2:4">
      <c r="B776" s="166"/>
      <c r="C776" s="173"/>
      <c r="D776" s="167"/>
    </row>
    <row r="777" spans="2:4">
      <c r="B777" s="166"/>
      <c r="C777" s="173"/>
      <c r="D777" s="167"/>
    </row>
    <row r="778" spans="2:4">
      <c r="B778" s="166"/>
      <c r="C778" s="173"/>
      <c r="D778" s="167"/>
    </row>
    <row r="779" spans="2:4">
      <c r="B779" s="166"/>
      <c r="C779" s="173"/>
      <c r="D779" s="167"/>
    </row>
    <row r="780" spans="2:4">
      <c r="B780" s="166"/>
      <c r="C780" s="173"/>
      <c r="D780" s="167"/>
    </row>
    <row r="781" spans="2:4">
      <c r="B781" s="166"/>
      <c r="C781" s="173"/>
      <c r="D781" s="167"/>
    </row>
    <row r="782" spans="2:4">
      <c r="B782" s="166"/>
      <c r="C782" s="173"/>
      <c r="D782" s="167"/>
    </row>
    <row r="783" spans="2:4">
      <c r="B783" s="166"/>
      <c r="C783" s="173"/>
      <c r="D783" s="167"/>
    </row>
    <row r="784" spans="2:4">
      <c r="B784" s="166"/>
      <c r="C784" s="173"/>
      <c r="D784" s="167"/>
    </row>
    <row r="785" spans="2:4">
      <c r="B785" s="166"/>
      <c r="C785" s="173"/>
      <c r="D785" s="167"/>
    </row>
    <row r="786" spans="2:4">
      <c r="B786" s="166"/>
      <c r="C786" s="173"/>
      <c r="D786" s="167"/>
    </row>
    <row r="787" spans="2:4">
      <c r="B787" s="166"/>
      <c r="C787" s="173"/>
      <c r="D787" s="167"/>
    </row>
    <row r="788" spans="2:4">
      <c r="B788" s="166"/>
      <c r="C788" s="173"/>
      <c r="D788" s="167"/>
    </row>
    <row r="789" spans="2:4">
      <c r="B789" s="166"/>
      <c r="C789" s="173"/>
      <c r="D789" s="167"/>
    </row>
    <row r="790" spans="2:4">
      <c r="B790" s="166"/>
      <c r="C790" s="173"/>
      <c r="D790" s="167"/>
    </row>
    <row r="791" spans="2:4">
      <c r="B791" s="166"/>
      <c r="C791" s="173"/>
      <c r="D791" s="167"/>
    </row>
    <row r="792" spans="2:4">
      <c r="B792" s="166"/>
      <c r="C792" s="173"/>
      <c r="D792" s="167"/>
    </row>
    <row r="793" spans="2:4">
      <c r="B793" s="166"/>
      <c r="C793" s="173"/>
      <c r="D793" s="167"/>
    </row>
    <row r="794" spans="2:4">
      <c r="B794" s="166"/>
      <c r="C794" s="173"/>
      <c r="D794" s="167"/>
    </row>
    <row r="795" spans="2:4">
      <c r="B795" s="166"/>
      <c r="C795" s="173"/>
      <c r="D795" s="167"/>
    </row>
    <row r="796" spans="2:4">
      <c r="B796" s="166"/>
      <c r="C796" s="173"/>
      <c r="D796" s="167"/>
    </row>
    <row r="797" spans="2:4">
      <c r="B797" s="166"/>
      <c r="C797" s="173"/>
      <c r="D797" s="167"/>
    </row>
    <row r="798" spans="2:4">
      <c r="B798" s="166"/>
      <c r="C798" s="173"/>
      <c r="D798" s="167"/>
    </row>
    <row r="799" spans="2:4">
      <c r="B799" s="166"/>
      <c r="C799" s="173"/>
      <c r="D799" s="167"/>
    </row>
    <row r="800" spans="2:4">
      <c r="B800" s="166"/>
      <c r="C800" s="173"/>
      <c r="D800" s="167"/>
    </row>
    <row r="801" spans="2:4">
      <c r="B801" s="166"/>
      <c r="C801" s="173"/>
      <c r="D801" s="167"/>
    </row>
    <row r="802" spans="2:4">
      <c r="B802" s="166"/>
      <c r="C802" s="173"/>
      <c r="D802" s="167"/>
    </row>
    <row r="803" spans="2:4">
      <c r="B803" s="166"/>
      <c r="C803" s="173"/>
      <c r="D803" s="167"/>
    </row>
    <row r="804" spans="2:4">
      <c r="B804" s="166"/>
      <c r="C804" s="173"/>
      <c r="D804" s="167"/>
    </row>
    <row r="805" spans="2:4">
      <c r="B805" s="166"/>
      <c r="C805" s="173"/>
      <c r="D805" s="167"/>
    </row>
    <row r="806" spans="2:4">
      <c r="B806" s="166"/>
      <c r="C806" s="173"/>
      <c r="D806" s="167"/>
    </row>
    <row r="807" spans="2:4">
      <c r="B807" s="166"/>
      <c r="C807" s="173"/>
      <c r="D807" s="167"/>
    </row>
    <row r="808" spans="2:4">
      <c r="B808" s="166"/>
      <c r="C808" s="173"/>
      <c r="D808" s="167"/>
    </row>
    <row r="809" spans="2:4">
      <c r="B809" s="166"/>
      <c r="C809" s="173"/>
      <c r="D809" s="167"/>
    </row>
    <row r="810" spans="2:4">
      <c r="B810" s="166"/>
      <c r="C810" s="173"/>
      <c r="D810" s="167"/>
    </row>
    <row r="811" spans="2:4">
      <c r="B811" s="166"/>
      <c r="C811" s="173"/>
      <c r="D811" s="167"/>
    </row>
    <row r="812" spans="2:4">
      <c r="B812" s="166"/>
      <c r="C812" s="173"/>
      <c r="D812" s="167"/>
    </row>
    <row r="813" spans="2:4">
      <c r="B813" s="166"/>
      <c r="C813" s="173"/>
      <c r="D813" s="167"/>
    </row>
    <row r="814" spans="2:4">
      <c r="B814" s="166"/>
      <c r="C814" s="173"/>
      <c r="D814" s="167"/>
    </row>
    <row r="815" spans="2:4">
      <c r="B815" s="166"/>
      <c r="C815" s="173"/>
      <c r="D815" s="167"/>
    </row>
    <row r="816" spans="2:4">
      <c r="B816" s="166"/>
      <c r="C816" s="173"/>
      <c r="D816" s="167"/>
    </row>
    <row r="817" spans="2:4">
      <c r="B817" s="166"/>
      <c r="C817" s="173"/>
      <c r="D817" s="167"/>
    </row>
    <row r="818" spans="2:4">
      <c r="B818" s="166"/>
      <c r="C818" s="173"/>
      <c r="D818" s="167"/>
    </row>
    <row r="819" spans="2:4">
      <c r="B819" s="166"/>
      <c r="C819" s="173"/>
      <c r="D819" s="167"/>
    </row>
    <row r="820" spans="2:4">
      <c r="B820" s="166"/>
      <c r="C820" s="173"/>
      <c r="D820" s="167"/>
    </row>
    <row r="821" spans="2:4">
      <c r="B821" s="166"/>
      <c r="C821" s="173"/>
      <c r="D821" s="167"/>
    </row>
    <row r="822" spans="2:4">
      <c r="B822" s="166"/>
      <c r="C822" s="173"/>
      <c r="D822" s="167"/>
    </row>
    <row r="823" spans="2:4">
      <c r="B823" s="166"/>
      <c r="C823" s="173"/>
      <c r="D823" s="167"/>
    </row>
    <row r="824" spans="2:4">
      <c r="B824" s="166"/>
      <c r="C824" s="173"/>
      <c r="D824" s="167"/>
    </row>
    <row r="825" spans="2:4">
      <c r="B825" s="166"/>
      <c r="C825" s="173"/>
      <c r="D825" s="167"/>
    </row>
    <row r="826" spans="2:4">
      <c r="B826" s="166"/>
      <c r="C826" s="173"/>
      <c r="D826" s="167"/>
    </row>
    <row r="827" spans="2:4">
      <c r="B827" s="166"/>
      <c r="C827" s="173"/>
      <c r="D827" s="167"/>
    </row>
    <row r="828" spans="2:4">
      <c r="B828" s="166"/>
      <c r="C828" s="173"/>
      <c r="D828" s="167"/>
    </row>
    <row r="829" spans="2:4">
      <c r="B829" s="166"/>
      <c r="C829" s="173"/>
      <c r="D829" s="167"/>
    </row>
    <row r="830" spans="2:4">
      <c r="B830" s="166"/>
      <c r="C830" s="173"/>
      <c r="D830" s="167"/>
    </row>
    <row r="831" spans="2:4">
      <c r="B831" s="166"/>
      <c r="C831" s="173"/>
      <c r="D831" s="167"/>
    </row>
    <row r="832" spans="2:4">
      <c r="B832" s="166"/>
      <c r="C832" s="173"/>
      <c r="D832" s="167"/>
    </row>
    <row r="833" spans="2:4">
      <c r="B833" s="166"/>
      <c r="C833" s="173"/>
      <c r="D833" s="167"/>
    </row>
    <row r="834" spans="2:4">
      <c r="B834" s="166"/>
      <c r="C834" s="173"/>
      <c r="D834" s="167"/>
    </row>
    <row r="835" spans="2:4">
      <c r="B835" s="166"/>
      <c r="C835" s="173"/>
      <c r="D835" s="167"/>
    </row>
    <row r="836" spans="2:4">
      <c r="B836" s="166"/>
      <c r="C836" s="173"/>
      <c r="D836" s="167"/>
    </row>
    <row r="837" spans="2:4">
      <c r="B837" s="166"/>
      <c r="C837" s="173"/>
      <c r="D837" s="167"/>
    </row>
    <row r="838" spans="2:4">
      <c r="B838" s="166"/>
      <c r="C838" s="173"/>
      <c r="D838" s="167"/>
    </row>
    <row r="839" spans="2:4">
      <c r="B839" s="166"/>
      <c r="C839" s="173"/>
      <c r="D839" s="167"/>
    </row>
    <row r="840" spans="2:4">
      <c r="B840" s="166"/>
      <c r="C840" s="173"/>
      <c r="D840" s="167"/>
    </row>
    <row r="841" spans="2:4">
      <c r="B841" s="166"/>
      <c r="C841" s="173"/>
      <c r="D841" s="167"/>
    </row>
    <row r="842" spans="2:4">
      <c r="B842" s="166"/>
      <c r="C842" s="173"/>
      <c r="D842" s="167"/>
    </row>
    <row r="843" spans="2:4">
      <c r="B843" s="166"/>
      <c r="C843" s="173"/>
      <c r="D843" s="167"/>
    </row>
    <row r="844" spans="2:4">
      <c r="B844" s="166"/>
      <c r="C844" s="173"/>
      <c r="D844" s="167"/>
    </row>
    <row r="845" spans="2:4">
      <c r="B845" s="166"/>
      <c r="C845" s="173"/>
      <c r="D845" s="167"/>
    </row>
    <row r="846" spans="2:4">
      <c r="B846" s="166"/>
      <c r="C846" s="173"/>
      <c r="D846" s="167"/>
    </row>
    <row r="847" spans="2:4">
      <c r="B847" s="166"/>
      <c r="C847" s="173"/>
      <c r="D847" s="167"/>
    </row>
    <row r="848" spans="2:4">
      <c r="B848" s="166"/>
      <c r="C848" s="173"/>
      <c r="D848" s="167"/>
    </row>
    <row r="849" spans="2:4">
      <c r="B849" s="166"/>
      <c r="C849" s="173"/>
      <c r="D849" s="167"/>
    </row>
    <row r="850" spans="2:4">
      <c r="B850" s="166"/>
      <c r="C850" s="173"/>
      <c r="D850" s="167"/>
    </row>
    <row r="851" spans="2:4">
      <c r="B851" s="166"/>
      <c r="C851" s="173"/>
      <c r="D851" s="167"/>
    </row>
    <row r="852" spans="2:4">
      <c r="B852" s="166"/>
      <c r="C852" s="173"/>
      <c r="D852" s="167"/>
    </row>
    <row r="853" spans="2:4">
      <c r="B853" s="166"/>
      <c r="C853" s="173"/>
      <c r="D853" s="167"/>
    </row>
    <row r="854" spans="2:4">
      <c r="B854" s="166"/>
      <c r="C854" s="173"/>
      <c r="D854" s="167"/>
    </row>
    <row r="855" spans="2:4">
      <c r="B855" s="166"/>
      <c r="C855" s="173"/>
      <c r="D855" s="167"/>
    </row>
    <row r="856" spans="2:4">
      <c r="B856" s="166"/>
      <c r="C856" s="173"/>
      <c r="D856" s="167"/>
    </row>
    <row r="857" spans="2:4">
      <c r="B857" s="166"/>
      <c r="C857" s="173"/>
      <c r="D857" s="167"/>
    </row>
    <row r="858" spans="2:4">
      <c r="B858" s="166"/>
      <c r="C858" s="173"/>
      <c r="D858" s="167"/>
    </row>
    <row r="859" spans="2:4">
      <c r="B859" s="166"/>
      <c r="C859" s="173"/>
      <c r="D859" s="167"/>
    </row>
    <row r="860" spans="2:4">
      <c r="B860" s="166"/>
      <c r="C860" s="173"/>
      <c r="D860" s="167"/>
    </row>
    <row r="861" spans="2:4">
      <c r="B861" s="166"/>
      <c r="C861" s="173"/>
      <c r="D861" s="167"/>
    </row>
    <row r="862" spans="2:4">
      <c r="B862" s="166"/>
      <c r="C862" s="173"/>
      <c r="D862" s="167"/>
    </row>
    <row r="863" spans="2:4">
      <c r="B863" s="166"/>
      <c r="C863" s="173"/>
      <c r="D863" s="167"/>
    </row>
    <row r="864" spans="2:4">
      <c r="B864" s="166"/>
      <c r="C864" s="173"/>
      <c r="D864" s="167"/>
    </row>
    <row r="865" spans="2:4">
      <c r="B865" s="166"/>
      <c r="C865" s="173"/>
      <c r="D865" s="167"/>
    </row>
    <row r="866" spans="2:4">
      <c r="B866" s="166"/>
      <c r="C866" s="173"/>
      <c r="D866" s="167"/>
    </row>
    <row r="867" spans="2:4">
      <c r="B867" s="166"/>
      <c r="C867" s="173"/>
      <c r="D867" s="167"/>
    </row>
    <row r="868" spans="2:4">
      <c r="B868" s="166"/>
      <c r="C868" s="173"/>
      <c r="D868" s="167"/>
    </row>
    <row r="869" spans="2:4">
      <c r="B869" s="166"/>
      <c r="C869" s="173"/>
      <c r="D869" s="167"/>
    </row>
    <row r="870" spans="2:4">
      <c r="B870" s="166"/>
      <c r="C870" s="173"/>
      <c r="D870" s="167"/>
    </row>
    <row r="871" spans="2:4">
      <c r="B871" s="166"/>
      <c r="C871" s="173"/>
      <c r="D871" s="167"/>
    </row>
    <row r="872" spans="2:4">
      <c r="B872" s="166"/>
      <c r="C872" s="173"/>
      <c r="D872" s="167"/>
    </row>
    <row r="873" spans="2:4">
      <c r="B873" s="166"/>
      <c r="C873" s="173"/>
      <c r="D873" s="167"/>
    </row>
    <row r="874" spans="2:4">
      <c r="B874" s="166"/>
      <c r="C874" s="173"/>
      <c r="D874" s="167"/>
    </row>
    <row r="875" spans="2:4">
      <c r="B875" s="166"/>
      <c r="C875" s="173"/>
      <c r="D875" s="167"/>
    </row>
    <row r="876" spans="2:4">
      <c r="B876" s="166"/>
      <c r="C876" s="173"/>
      <c r="D876" s="167"/>
    </row>
    <row r="877" spans="2:4">
      <c r="B877" s="166"/>
      <c r="C877" s="173"/>
      <c r="D877" s="167"/>
    </row>
    <row r="878" spans="2:4">
      <c r="B878" s="166"/>
      <c r="C878" s="173"/>
      <c r="D878" s="167"/>
    </row>
    <row r="879" spans="2:4">
      <c r="B879" s="166"/>
      <c r="C879" s="173"/>
      <c r="D879" s="167"/>
    </row>
    <row r="880" spans="2:4">
      <c r="B880" s="166"/>
      <c r="C880" s="173"/>
      <c r="D880" s="167"/>
    </row>
    <row r="881" spans="2:4">
      <c r="B881" s="166"/>
      <c r="C881" s="173"/>
      <c r="D881" s="167"/>
    </row>
    <row r="882" spans="2:4">
      <c r="B882" s="166"/>
      <c r="C882" s="173"/>
      <c r="D882" s="167"/>
    </row>
    <row r="883" spans="2:4">
      <c r="B883" s="166"/>
      <c r="C883" s="173"/>
      <c r="D883" s="167"/>
    </row>
    <row r="884" spans="2:4">
      <c r="B884" s="166"/>
      <c r="C884" s="173"/>
      <c r="D884" s="167"/>
    </row>
    <row r="885" spans="2:4">
      <c r="B885" s="166"/>
      <c r="C885" s="173"/>
      <c r="D885" s="167"/>
    </row>
    <row r="886" spans="2:4">
      <c r="B886" s="166"/>
      <c r="C886" s="173"/>
      <c r="D886" s="167"/>
    </row>
    <row r="887" spans="2:4">
      <c r="B887" s="166"/>
      <c r="C887" s="173"/>
      <c r="D887" s="167"/>
    </row>
    <row r="888" spans="2:4">
      <c r="B888" s="166"/>
      <c r="C888" s="173"/>
      <c r="D888" s="167"/>
    </row>
    <row r="889" spans="2:4">
      <c r="B889" s="166"/>
      <c r="C889" s="173"/>
      <c r="D889" s="167"/>
    </row>
    <row r="890" spans="2:4">
      <c r="B890" s="166"/>
      <c r="C890" s="173"/>
      <c r="D890" s="167"/>
    </row>
    <row r="891" spans="2:4">
      <c r="B891" s="166"/>
      <c r="C891" s="173"/>
      <c r="D891" s="167"/>
    </row>
    <row r="892" spans="2:4">
      <c r="B892" s="166"/>
      <c r="C892" s="173"/>
      <c r="D892" s="167"/>
    </row>
    <row r="893" spans="2:4">
      <c r="B893" s="166"/>
      <c r="C893" s="173"/>
      <c r="D893" s="167"/>
    </row>
    <row r="894" spans="2:4">
      <c r="B894" s="166"/>
      <c r="C894" s="173"/>
      <c r="D894" s="167"/>
    </row>
    <row r="895" spans="2:4">
      <c r="B895" s="166"/>
      <c r="C895" s="173"/>
      <c r="D895" s="167"/>
    </row>
    <row r="896" spans="2:4">
      <c r="B896" s="166"/>
      <c r="C896" s="173"/>
      <c r="D896" s="167"/>
    </row>
    <row r="897" spans="2:4">
      <c r="B897" s="166"/>
      <c r="C897" s="173"/>
      <c r="D897" s="167"/>
    </row>
    <row r="898" spans="2:4">
      <c r="B898" s="166"/>
      <c r="C898" s="173"/>
      <c r="D898" s="167"/>
    </row>
    <row r="899" spans="2:4">
      <c r="B899" s="166"/>
      <c r="C899" s="173"/>
      <c r="D899" s="167"/>
    </row>
    <row r="900" spans="2:4">
      <c r="B900" s="166"/>
      <c r="C900" s="173"/>
      <c r="D900" s="167"/>
    </row>
    <row r="901" spans="2:4">
      <c r="B901" s="166"/>
      <c r="C901" s="173"/>
      <c r="D901" s="167"/>
    </row>
    <row r="902" spans="2:4">
      <c r="B902" s="166"/>
      <c r="C902" s="173"/>
      <c r="D902" s="167"/>
    </row>
    <row r="903" spans="2:4">
      <c r="B903" s="166"/>
      <c r="C903" s="173"/>
      <c r="D903" s="167"/>
    </row>
    <row r="904" spans="2:4">
      <c r="B904" s="166"/>
      <c r="C904" s="173"/>
      <c r="D904" s="167"/>
    </row>
    <row r="905" spans="2:4">
      <c r="B905" s="166"/>
      <c r="C905" s="173"/>
      <c r="D905" s="167"/>
    </row>
    <row r="906" spans="2:4">
      <c r="B906" s="166"/>
      <c r="C906" s="173"/>
      <c r="D906" s="167"/>
    </row>
    <row r="907" spans="2:4">
      <c r="B907" s="166"/>
      <c r="C907" s="173"/>
      <c r="D907" s="167"/>
    </row>
    <row r="908" spans="2:4">
      <c r="B908" s="166"/>
      <c r="C908" s="173"/>
      <c r="D908" s="167"/>
    </row>
    <row r="909" spans="2:4">
      <c r="B909" s="166"/>
      <c r="C909" s="173"/>
      <c r="D909" s="167"/>
    </row>
    <row r="910" spans="2:4">
      <c r="B910" s="166"/>
      <c r="C910" s="173"/>
      <c r="D910" s="167"/>
    </row>
    <row r="911" spans="2:4">
      <c r="B911" s="166"/>
      <c r="C911" s="173"/>
      <c r="D911" s="167"/>
    </row>
    <row r="912" spans="2:4">
      <c r="B912" s="166"/>
      <c r="C912" s="173"/>
      <c r="D912" s="167"/>
    </row>
    <row r="913" spans="2:4">
      <c r="B913" s="166"/>
      <c r="C913" s="173"/>
      <c r="D913" s="167"/>
    </row>
    <row r="914" spans="2:4">
      <c r="B914" s="166"/>
      <c r="C914" s="173"/>
      <c r="D914" s="167"/>
    </row>
    <row r="915" spans="2:4">
      <c r="B915" s="166"/>
      <c r="C915" s="173"/>
      <c r="D915" s="167"/>
    </row>
    <row r="916" spans="2:4">
      <c r="B916" s="166"/>
      <c r="C916" s="173"/>
      <c r="D916" s="167"/>
    </row>
    <row r="917" spans="2:4">
      <c r="B917" s="166"/>
      <c r="C917" s="173"/>
      <c r="D917" s="167"/>
    </row>
    <row r="918" spans="2:4">
      <c r="B918" s="166"/>
      <c r="C918" s="173"/>
      <c r="D918" s="167"/>
    </row>
    <row r="919" spans="2:4">
      <c r="B919" s="166"/>
      <c r="C919" s="173"/>
      <c r="D919" s="167"/>
    </row>
    <row r="920" spans="2:4">
      <c r="B920" s="166"/>
      <c r="C920" s="173"/>
      <c r="D920" s="167"/>
    </row>
    <row r="921" spans="2:4">
      <c r="B921" s="166"/>
      <c r="C921" s="173"/>
      <c r="D921" s="167"/>
    </row>
    <row r="922" spans="2:4">
      <c r="B922" s="166"/>
      <c r="C922" s="173"/>
      <c r="D922" s="167"/>
    </row>
    <row r="923" spans="2:4">
      <c r="B923" s="166"/>
      <c r="C923" s="173"/>
      <c r="D923" s="167"/>
    </row>
    <row r="924" spans="2:4">
      <c r="B924" s="166"/>
      <c r="C924" s="173"/>
      <c r="D924" s="167"/>
    </row>
    <row r="925" spans="2:4">
      <c r="B925" s="166"/>
      <c r="C925" s="173"/>
      <c r="D925" s="167"/>
    </row>
    <row r="926" spans="2:4">
      <c r="B926" s="166"/>
      <c r="C926" s="173"/>
      <c r="D926" s="167"/>
    </row>
    <row r="927" spans="2:4">
      <c r="B927" s="166"/>
      <c r="C927" s="173"/>
      <c r="D927" s="167"/>
    </row>
    <row r="928" spans="2:4">
      <c r="B928" s="166"/>
      <c r="C928" s="173"/>
      <c r="D928" s="167"/>
    </row>
    <row r="929" spans="2:4">
      <c r="B929" s="166"/>
      <c r="C929" s="173"/>
      <c r="D929" s="167"/>
    </row>
    <row r="930" spans="2:4">
      <c r="B930" s="166"/>
      <c r="C930" s="173"/>
      <c r="D930" s="167"/>
    </row>
    <row r="931" spans="2:4">
      <c r="B931" s="166"/>
      <c r="C931" s="173"/>
      <c r="D931" s="167"/>
    </row>
    <row r="932" spans="2:4">
      <c r="B932" s="166"/>
      <c r="C932" s="173"/>
      <c r="D932" s="167"/>
    </row>
    <row r="933" spans="2:4">
      <c r="B933" s="166"/>
      <c r="C933" s="173"/>
      <c r="D933" s="167"/>
    </row>
    <row r="934" spans="2:4">
      <c r="B934" s="166"/>
      <c r="C934" s="173"/>
      <c r="D934" s="167"/>
    </row>
    <row r="935" spans="2:4">
      <c r="B935" s="166"/>
      <c r="C935" s="173"/>
      <c r="D935" s="167"/>
    </row>
    <row r="936" spans="2:4">
      <c r="B936" s="166"/>
      <c r="C936" s="173"/>
      <c r="D936" s="167"/>
    </row>
    <row r="937" spans="2:4">
      <c r="B937" s="166"/>
      <c r="C937" s="173"/>
      <c r="D937" s="167"/>
    </row>
    <row r="938" spans="2:4">
      <c r="B938" s="166"/>
      <c r="C938" s="173"/>
      <c r="D938" s="167"/>
    </row>
    <row r="939" spans="2:4">
      <c r="B939" s="166"/>
      <c r="C939" s="173"/>
      <c r="D939" s="167"/>
    </row>
    <row r="940" spans="2:4">
      <c r="B940" s="166"/>
      <c r="C940" s="173"/>
      <c r="D940" s="167"/>
    </row>
    <row r="941" spans="2:4">
      <c r="B941" s="166"/>
      <c r="C941" s="173"/>
      <c r="D941" s="167"/>
    </row>
    <row r="942" spans="2:4">
      <c r="B942" s="166"/>
      <c r="C942" s="173"/>
      <c r="D942" s="167"/>
    </row>
    <row r="943" spans="2:4">
      <c r="B943" s="166"/>
      <c r="C943" s="173"/>
      <c r="D943" s="167"/>
    </row>
    <row r="944" spans="2:4">
      <c r="B944" s="166"/>
      <c r="C944" s="173"/>
      <c r="D944" s="167"/>
    </row>
    <row r="945" spans="2:4">
      <c r="B945" s="166"/>
      <c r="C945" s="173"/>
      <c r="D945" s="167"/>
    </row>
    <row r="946" spans="2:4">
      <c r="B946" s="166"/>
      <c r="C946" s="173"/>
      <c r="D946" s="167"/>
    </row>
    <row r="947" spans="2:4">
      <c r="B947" s="166"/>
      <c r="C947" s="173"/>
      <c r="D947" s="167"/>
    </row>
    <row r="948" spans="2:4">
      <c r="B948" s="166"/>
      <c r="C948" s="173"/>
      <c r="D948" s="167"/>
    </row>
    <row r="949" spans="2:4">
      <c r="B949" s="166"/>
      <c r="C949" s="173"/>
      <c r="D949" s="167"/>
    </row>
    <row r="950" spans="2:4">
      <c r="B950" s="166"/>
      <c r="C950" s="173"/>
      <c r="D950" s="167"/>
    </row>
    <row r="951" spans="2:4">
      <c r="B951" s="166"/>
      <c r="C951" s="173"/>
      <c r="D951" s="167"/>
    </row>
    <row r="952" spans="2:4">
      <c r="B952" s="166"/>
      <c r="C952" s="173"/>
      <c r="D952" s="167"/>
    </row>
    <row r="953" spans="2:4">
      <c r="B953" s="166"/>
      <c r="C953" s="173"/>
      <c r="D953" s="167"/>
    </row>
    <row r="954" spans="2:4">
      <c r="B954" s="166"/>
      <c r="C954" s="173"/>
      <c r="D954" s="167"/>
    </row>
    <row r="955" spans="2:4">
      <c r="B955" s="166"/>
      <c r="C955" s="173"/>
      <c r="D955" s="167"/>
    </row>
    <row r="956" spans="2:4">
      <c r="B956" s="166"/>
      <c r="C956" s="173"/>
      <c r="D956" s="167"/>
    </row>
    <row r="957" spans="2:4">
      <c r="B957" s="166"/>
      <c r="C957" s="173"/>
      <c r="D957" s="167"/>
    </row>
    <row r="958" spans="2:4">
      <c r="B958" s="166"/>
      <c r="C958" s="173"/>
      <c r="D958" s="167"/>
    </row>
    <row r="959" spans="2:4">
      <c r="B959" s="166"/>
      <c r="C959" s="173"/>
      <c r="D959" s="167"/>
    </row>
    <row r="960" spans="2:4">
      <c r="B960" s="166"/>
      <c r="C960" s="173"/>
      <c r="D960" s="167"/>
    </row>
    <row r="961" spans="2:4">
      <c r="B961" s="166"/>
      <c r="C961" s="173"/>
      <c r="D961" s="167"/>
    </row>
    <row r="962" spans="2:4">
      <c r="B962" s="166"/>
      <c r="C962" s="173"/>
      <c r="D962" s="167"/>
    </row>
    <row r="963" spans="2:4">
      <c r="B963" s="166"/>
      <c r="C963" s="173"/>
      <c r="D963" s="167"/>
    </row>
    <row r="964" spans="2:4">
      <c r="B964" s="166"/>
      <c r="C964" s="173"/>
      <c r="D964" s="167"/>
    </row>
    <row r="965" spans="2:4">
      <c r="B965" s="166"/>
      <c r="C965" s="173"/>
      <c r="D965" s="167"/>
    </row>
    <row r="966" spans="2:4">
      <c r="B966" s="166"/>
      <c r="C966" s="173"/>
      <c r="D966" s="167"/>
    </row>
    <row r="967" spans="2:4">
      <c r="B967" s="166"/>
      <c r="C967" s="173"/>
      <c r="D967" s="167"/>
    </row>
    <row r="968" spans="2:4">
      <c r="B968" s="166"/>
      <c r="C968" s="173"/>
      <c r="D968" s="167"/>
    </row>
    <row r="969" spans="2:4">
      <c r="B969" s="166"/>
      <c r="C969" s="173"/>
      <c r="D969" s="167"/>
    </row>
    <row r="970" spans="2:4">
      <c r="B970" s="166"/>
      <c r="C970" s="173"/>
      <c r="D970" s="167"/>
    </row>
    <row r="971" spans="2:4">
      <c r="B971" s="166"/>
      <c r="C971" s="173"/>
      <c r="D971" s="167"/>
    </row>
    <row r="972" spans="2:4">
      <c r="B972" s="166"/>
      <c r="C972" s="173"/>
      <c r="D972" s="167"/>
    </row>
    <row r="973" spans="2:4">
      <c r="B973" s="166"/>
      <c r="C973" s="173"/>
      <c r="D973" s="167"/>
    </row>
    <row r="974" spans="2:4">
      <c r="B974" s="166"/>
      <c r="C974" s="173"/>
      <c r="D974" s="167"/>
    </row>
    <row r="975" spans="2:4">
      <c r="B975" s="166"/>
      <c r="C975" s="173"/>
      <c r="D975" s="167"/>
    </row>
    <row r="976" spans="2:4">
      <c r="B976" s="166"/>
      <c r="C976" s="173"/>
      <c r="D976" s="167"/>
    </row>
    <row r="977" spans="2:4">
      <c r="B977" s="166"/>
      <c r="C977" s="173"/>
      <c r="D977" s="167"/>
    </row>
    <row r="978" spans="2:4">
      <c r="B978" s="166"/>
      <c r="C978" s="173"/>
      <c r="D978" s="167"/>
    </row>
    <row r="979" spans="2:4">
      <c r="B979" s="166"/>
      <c r="C979" s="173"/>
      <c r="D979" s="167"/>
    </row>
    <row r="980" spans="2:4">
      <c r="B980" s="166"/>
      <c r="C980" s="173"/>
      <c r="D980" s="167"/>
    </row>
    <row r="981" spans="2:4">
      <c r="B981" s="166"/>
      <c r="C981" s="173"/>
      <c r="D981" s="167"/>
    </row>
    <row r="982" spans="2:4">
      <c r="B982" s="166"/>
      <c r="C982" s="173"/>
      <c r="D982" s="167"/>
    </row>
    <row r="983" spans="2:4">
      <c r="B983" s="166"/>
      <c r="C983" s="173"/>
      <c r="D983" s="167"/>
    </row>
    <row r="984" spans="2:4">
      <c r="B984" s="166"/>
      <c r="C984" s="173"/>
      <c r="D984" s="167"/>
    </row>
    <row r="985" spans="2:4">
      <c r="B985" s="166"/>
      <c r="C985" s="173"/>
      <c r="D985" s="167"/>
    </row>
    <row r="986" spans="2:4">
      <c r="B986" s="166"/>
      <c r="C986" s="173"/>
      <c r="D986" s="167"/>
    </row>
    <row r="987" spans="2:4">
      <c r="B987" s="166"/>
      <c r="C987" s="173"/>
      <c r="D987" s="167"/>
    </row>
    <row r="988" spans="2:4">
      <c r="B988" s="166"/>
      <c r="C988" s="173"/>
      <c r="D988" s="167"/>
    </row>
    <row r="989" spans="2:4">
      <c r="B989" s="166"/>
      <c r="C989" s="173"/>
      <c r="D989" s="167"/>
    </row>
    <row r="990" spans="2:4">
      <c r="B990" s="166"/>
      <c r="C990" s="173"/>
      <c r="D990" s="167"/>
    </row>
    <row r="991" spans="2:4">
      <c r="B991" s="166"/>
      <c r="C991" s="173"/>
      <c r="D991" s="167"/>
    </row>
    <row r="992" spans="2:4">
      <c r="B992" s="166"/>
      <c r="C992" s="173"/>
      <c r="D992" s="167"/>
    </row>
    <row r="993" spans="2:4">
      <c r="B993" s="166"/>
      <c r="C993" s="173"/>
      <c r="D993" s="167"/>
    </row>
    <row r="994" spans="2:4">
      <c r="B994" s="166"/>
      <c r="C994" s="173"/>
      <c r="D994" s="167"/>
    </row>
    <row r="995" spans="2:4">
      <c r="B995" s="166"/>
      <c r="C995" s="173"/>
      <c r="D995" s="167"/>
    </row>
    <row r="996" spans="2:4">
      <c r="B996" s="166"/>
      <c r="C996" s="173"/>
      <c r="D996" s="167"/>
    </row>
    <row r="997" spans="2:4">
      <c r="B997" s="166"/>
      <c r="C997" s="173"/>
      <c r="D997" s="167"/>
    </row>
    <row r="998" spans="2:4">
      <c r="B998" s="166"/>
      <c r="C998" s="173"/>
      <c r="D998" s="167"/>
    </row>
    <row r="999" spans="2:4">
      <c r="B999" s="166"/>
      <c r="C999" s="173"/>
      <c r="D999" s="167"/>
    </row>
    <row r="1000" spans="2:4">
      <c r="B1000" s="166"/>
      <c r="C1000" s="173"/>
      <c r="D1000" s="167"/>
    </row>
    <row r="1001" spans="2:4">
      <c r="B1001" s="166"/>
      <c r="C1001" s="173"/>
      <c r="D1001" s="167"/>
    </row>
    <row r="1002" spans="2:4">
      <c r="B1002" s="166"/>
      <c r="C1002" s="173"/>
      <c r="D1002" s="167"/>
    </row>
    <row r="1003" spans="2:4">
      <c r="B1003" s="166"/>
      <c r="C1003" s="173"/>
      <c r="D1003" s="167"/>
    </row>
    <row r="1004" spans="2:4">
      <c r="B1004" s="166"/>
      <c r="C1004" s="173"/>
      <c r="D1004" s="167"/>
    </row>
    <row r="1005" spans="2:4">
      <c r="B1005" s="166"/>
      <c r="C1005" s="173"/>
      <c r="D1005" s="167"/>
    </row>
    <row r="1006" spans="2:4">
      <c r="B1006" s="166"/>
      <c r="C1006" s="173"/>
      <c r="D1006" s="167"/>
    </row>
    <row r="1007" spans="2:4">
      <c r="B1007" s="166"/>
      <c r="C1007" s="173"/>
      <c r="D1007" s="167"/>
    </row>
    <row r="1008" spans="2:4">
      <c r="B1008" s="166"/>
      <c r="C1008" s="173"/>
      <c r="D1008" s="167"/>
    </row>
    <row r="1009" spans="2:4">
      <c r="B1009" s="166"/>
      <c r="C1009" s="173"/>
      <c r="D1009" s="167"/>
    </row>
    <row r="1010" spans="2:4">
      <c r="B1010" s="166"/>
      <c r="C1010" s="173"/>
      <c r="D1010" s="167"/>
    </row>
    <row r="1011" spans="2:4">
      <c r="B1011" s="166"/>
      <c r="C1011" s="173"/>
      <c r="D1011" s="167"/>
    </row>
    <row r="1012" spans="2:4">
      <c r="B1012" s="166"/>
      <c r="C1012" s="173"/>
      <c r="D1012" s="167"/>
    </row>
    <row r="1013" spans="2:4">
      <c r="B1013" s="166"/>
      <c r="C1013" s="173"/>
      <c r="D1013" s="167"/>
    </row>
    <row r="1014" spans="2:4">
      <c r="B1014" s="166"/>
      <c r="C1014" s="173"/>
      <c r="D1014" s="167"/>
    </row>
    <row r="1015" spans="2:4">
      <c r="B1015" s="166"/>
      <c r="C1015" s="173"/>
      <c r="D1015" s="167"/>
    </row>
    <row r="1016" spans="2:4">
      <c r="B1016" s="166"/>
      <c r="C1016" s="173"/>
      <c r="D1016" s="167"/>
    </row>
    <row r="1017" spans="2:4">
      <c r="B1017" s="166"/>
      <c r="C1017" s="173"/>
      <c r="D1017" s="167"/>
    </row>
    <row r="1018" spans="2:4">
      <c r="B1018" s="166"/>
      <c r="C1018" s="173"/>
      <c r="D1018" s="167"/>
    </row>
    <row r="1019" spans="2:4">
      <c r="B1019" s="166"/>
      <c r="C1019" s="173"/>
      <c r="D1019" s="167"/>
    </row>
    <row r="1020" spans="2:4">
      <c r="B1020" s="166"/>
      <c r="C1020" s="173"/>
      <c r="D1020" s="167"/>
    </row>
    <row r="1021" spans="2:4">
      <c r="B1021" s="166"/>
      <c r="C1021" s="173"/>
      <c r="D1021" s="167"/>
    </row>
    <row r="1022" spans="2:4">
      <c r="B1022" s="166"/>
      <c r="C1022" s="173"/>
      <c r="D1022" s="167"/>
    </row>
    <row r="1023" spans="2:4">
      <c r="B1023" s="166"/>
      <c r="C1023" s="173"/>
      <c r="D1023" s="167"/>
    </row>
    <row r="1024" spans="2:4">
      <c r="B1024" s="166"/>
      <c r="C1024" s="173"/>
      <c r="D1024" s="167"/>
    </row>
    <row r="1025" spans="2:4">
      <c r="B1025" s="166"/>
      <c r="C1025" s="173"/>
      <c r="D1025" s="167"/>
    </row>
    <row r="1026" spans="2:4">
      <c r="B1026" s="166"/>
      <c r="C1026" s="173"/>
      <c r="D1026" s="167"/>
    </row>
    <row r="1027" spans="2:4">
      <c r="B1027" s="166"/>
      <c r="C1027" s="173"/>
      <c r="D1027" s="167"/>
    </row>
    <row r="1028" spans="2:4">
      <c r="B1028" s="166"/>
      <c r="C1028" s="173"/>
      <c r="D1028" s="167"/>
    </row>
    <row r="1029" spans="2:4">
      <c r="B1029" s="166"/>
      <c r="C1029" s="173"/>
      <c r="D1029" s="167"/>
    </row>
    <row r="1030" spans="2:4">
      <c r="B1030" s="166"/>
      <c r="C1030" s="173"/>
      <c r="D1030" s="167"/>
    </row>
    <row r="1031" spans="2:4">
      <c r="B1031" s="166"/>
      <c r="C1031" s="173"/>
      <c r="D1031" s="167"/>
    </row>
    <row r="1032" spans="2:4">
      <c r="B1032" s="166"/>
      <c r="C1032" s="173"/>
      <c r="D1032" s="167"/>
    </row>
    <row r="1033" spans="2:4">
      <c r="B1033" s="166"/>
      <c r="C1033" s="173"/>
      <c r="D1033" s="167"/>
    </row>
    <row r="1034" spans="2:4">
      <c r="B1034" s="166"/>
      <c r="C1034" s="173"/>
      <c r="D1034" s="167"/>
    </row>
    <row r="1035" spans="2:4">
      <c r="B1035" s="166"/>
      <c r="C1035" s="173"/>
      <c r="D1035" s="167"/>
    </row>
    <row r="1036" spans="2:4">
      <c r="B1036" s="166"/>
      <c r="C1036" s="173"/>
      <c r="D1036" s="167"/>
    </row>
    <row r="1037" spans="2:4">
      <c r="B1037" s="166"/>
      <c r="C1037" s="173"/>
      <c r="D1037" s="167"/>
    </row>
    <row r="1038" spans="2:4">
      <c r="B1038" s="166"/>
      <c r="C1038" s="173"/>
      <c r="D1038" s="167"/>
    </row>
    <row r="1039" spans="2:4">
      <c r="B1039" s="166"/>
      <c r="C1039" s="173"/>
      <c r="D1039" s="167"/>
    </row>
    <row r="1040" spans="2:4">
      <c r="B1040" s="166"/>
      <c r="C1040" s="173"/>
      <c r="D1040" s="167"/>
    </row>
    <row r="1041" spans="2:4">
      <c r="B1041" s="166"/>
      <c r="C1041" s="173"/>
      <c r="D1041" s="167"/>
    </row>
    <row r="1042" spans="2:4">
      <c r="B1042" s="166"/>
      <c r="C1042" s="173"/>
      <c r="D1042" s="167"/>
    </row>
    <row r="1043" spans="2:4">
      <c r="B1043" s="166"/>
      <c r="C1043" s="173"/>
      <c r="D1043" s="167"/>
    </row>
    <row r="1044" spans="2:4">
      <c r="B1044" s="166"/>
      <c r="C1044" s="173"/>
      <c r="D1044" s="167"/>
    </row>
    <row r="1045" spans="2:4">
      <c r="B1045" s="166"/>
      <c r="C1045" s="173"/>
      <c r="D1045" s="167"/>
    </row>
    <row r="1046" spans="2:4">
      <c r="B1046" s="166"/>
      <c r="C1046" s="173"/>
      <c r="D1046" s="167"/>
    </row>
    <row r="1047" spans="2:4">
      <c r="B1047" s="166"/>
      <c r="C1047" s="173"/>
      <c r="D1047" s="167"/>
    </row>
    <row r="1048" spans="2:4">
      <c r="B1048" s="166"/>
      <c r="C1048" s="173"/>
      <c r="D1048" s="167"/>
    </row>
    <row r="1049" spans="2:4">
      <c r="B1049" s="166"/>
      <c r="C1049" s="173"/>
      <c r="D1049" s="167"/>
    </row>
    <row r="1050" spans="2:4">
      <c r="B1050" s="166"/>
      <c r="C1050" s="173"/>
      <c r="D1050" s="167"/>
    </row>
    <row r="1051" spans="2:4">
      <c r="B1051" s="166"/>
      <c r="C1051" s="173"/>
      <c r="D1051" s="167"/>
    </row>
    <row r="1052" spans="2:4">
      <c r="B1052" s="166"/>
      <c r="C1052" s="173"/>
      <c r="D1052" s="167"/>
    </row>
    <row r="1053" spans="2:4">
      <c r="B1053" s="166"/>
      <c r="C1053" s="173"/>
      <c r="D1053" s="167"/>
    </row>
    <row r="1054" spans="2:4">
      <c r="B1054" s="166"/>
      <c r="C1054" s="173"/>
      <c r="D1054" s="167"/>
    </row>
    <row r="1055" spans="2:4">
      <c r="B1055" s="166"/>
      <c r="C1055" s="173"/>
      <c r="D1055" s="167"/>
    </row>
    <row r="1056" spans="2:4">
      <c r="B1056" s="166"/>
      <c r="C1056" s="173"/>
      <c r="D1056" s="167"/>
    </row>
    <row r="1057" spans="2:4">
      <c r="B1057" s="166"/>
      <c r="C1057" s="173"/>
      <c r="D1057" s="167"/>
    </row>
    <row r="1058" spans="2:4">
      <c r="B1058" s="166"/>
      <c r="C1058" s="173"/>
      <c r="D1058" s="167"/>
    </row>
    <row r="1059" spans="2:4">
      <c r="B1059" s="166"/>
      <c r="C1059" s="173"/>
      <c r="D1059" s="167"/>
    </row>
    <row r="1060" spans="2:4">
      <c r="B1060" s="166"/>
      <c r="C1060" s="173"/>
      <c r="D1060" s="167"/>
    </row>
    <row r="1061" spans="2:4">
      <c r="B1061" s="166"/>
      <c r="C1061" s="173"/>
      <c r="D1061" s="167"/>
    </row>
    <row r="1062" spans="2:4">
      <c r="B1062" s="166"/>
      <c r="C1062" s="173"/>
      <c r="D1062" s="167"/>
    </row>
    <row r="1063" spans="2:4">
      <c r="B1063" s="166"/>
      <c r="C1063" s="173"/>
      <c r="D1063" s="167"/>
    </row>
    <row r="1064" spans="2:4">
      <c r="B1064" s="166"/>
      <c r="C1064" s="173"/>
      <c r="D1064" s="167"/>
    </row>
    <row r="1065" spans="2:4">
      <c r="B1065" s="166"/>
      <c r="C1065" s="173"/>
      <c r="D1065" s="167"/>
    </row>
    <row r="1066" spans="2:4">
      <c r="B1066" s="166"/>
      <c r="C1066" s="173"/>
      <c r="D1066" s="167"/>
    </row>
    <row r="1067" spans="2:4">
      <c r="B1067" s="166"/>
      <c r="C1067" s="173"/>
      <c r="D1067" s="167"/>
    </row>
    <row r="1068" spans="2:4">
      <c r="B1068" s="166"/>
      <c r="C1068" s="173"/>
      <c r="D1068" s="167"/>
    </row>
    <row r="1069" spans="2:4">
      <c r="B1069" s="166"/>
      <c r="C1069" s="173"/>
      <c r="D1069" s="167"/>
    </row>
    <row r="1070" spans="2:4">
      <c r="B1070" s="166"/>
      <c r="C1070" s="173"/>
      <c r="D1070" s="167"/>
    </row>
    <row r="1071" spans="2:4">
      <c r="B1071" s="166"/>
      <c r="C1071" s="173"/>
      <c r="D1071" s="167"/>
    </row>
    <row r="1072" spans="2:4">
      <c r="B1072" s="166"/>
      <c r="C1072" s="173"/>
      <c r="D1072" s="167"/>
    </row>
    <row r="1073" spans="2:4">
      <c r="B1073" s="166"/>
      <c r="C1073" s="173"/>
      <c r="D1073" s="167"/>
    </row>
    <row r="1074" spans="2:4">
      <c r="B1074" s="166"/>
      <c r="C1074" s="173"/>
      <c r="D1074" s="167"/>
    </row>
    <row r="1075" spans="2:4">
      <c r="B1075" s="166"/>
      <c r="C1075" s="173"/>
      <c r="D1075" s="167"/>
    </row>
    <row r="1076" spans="2:4">
      <c r="B1076" s="166"/>
      <c r="C1076" s="173"/>
      <c r="D1076" s="167"/>
    </row>
    <row r="1077" spans="2:4">
      <c r="B1077" s="166"/>
      <c r="C1077" s="173"/>
      <c r="D1077" s="167"/>
    </row>
    <row r="1078" spans="2:4">
      <c r="B1078" s="166"/>
      <c r="C1078" s="173"/>
      <c r="D1078" s="167"/>
    </row>
    <row r="1079" spans="2:4">
      <c r="B1079" s="166"/>
      <c r="C1079" s="173"/>
      <c r="D1079" s="167"/>
    </row>
    <row r="1080" spans="2:4">
      <c r="B1080" s="166"/>
      <c r="C1080" s="173"/>
      <c r="D1080" s="167"/>
    </row>
    <row r="1081" spans="2:4">
      <c r="B1081" s="166"/>
      <c r="C1081" s="173"/>
      <c r="D1081" s="167"/>
    </row>
    <row r="1082" spans="2:4">
      <c r="B1082" s="166"/>
      <c r="C1082" s="173"/>
      <c r="D1082" s="167"/>
    </row>
    <row r="1083" spans="2:4">
      <c r="B1083" s="166"/>
      <c r="C1083" s="173"/>
      <c r="D1083" s="167"/>
    </row>
    <row r="1084" spans="2:4">
      <c r="B1084" s="166"/>
      <c r="C1084" s="173"/>
      <c r="D1084" s="167"/>
    </row>
    <row r="1085" spans="2:4">
      <c r="B1085" s="166"/>
      <c r="C1085" s="173"/>
      <c r="D1085" s="167"/>
    </row>
    <row r="1086" spans="2:4">
      <c r="B1086" s="166"/>
      <c r="C1086" s="173"/>
      <c r="D1086" s="167"/>
    </row>
    <row r="1087" spans="2:4">
      <c r="B1087" s="166"/>
      <c r="C1087" s="173"/>
      <c r="D1087" s="167"/>
    </row>
    <row r="1088" spans="2:4">
      <c r="B1088" s="166"/>
      <c r="C1088" s="173"/>
      <c r="D1088" s="167"/>
    </row>
    <row r="1089" spans="2:4">
      <c r="B1089" s="166"/>
      <c r="C1089" s="173"/>
      <c r="D1089" s="167"/>
    </row>
    <row r="1090" spans="2:4">
      <c r="B1090" s="166"/>
      <c r="C1090" s="173"/>
      <c r="D1090" s="167"/>
    </row>
    <row r="1091" spans="2:4">
      <c r="B1091" s="166"/>
      <c r="C1091" s="173"/>
      <c r="D1091" s="167"/>
    </row>
    <row r="1092" spans="2:4">
      <c r="B1092" s="166"/>
      <c r="C1092" s="173"/>
      <c r="D1092" s="167"/>
    </row>
    <row r="1093" spans="2:4">
      <c r="B1093" s="166"/>
      <c r="C1093" s="173"/>
      <c r="D1093" s="167"/>
    </row>
    <row r="1094" spans="2:4">
      <c r="B1094" s="166"/>
      <c r="C1094" s="173"/>
      <c r="D1094" s="167"/>
    </row>
    <row r="1095" spans="2:4">
      <c r="B1095" s="166"/>
      <c r="C1095" s="173"/>
      <c r="D1095" s="167"/>
    </row>
    <row r="1096" spans="2:4">
      <c r="B1096" s="166"/>
      <c r="C1096" s="173"/>
      <c r="D1096" s="167"/>
    </row>
    <row r="1097" spans="2:4">
      <c r="B1097" s="166"/>
      <c r="C1097" s="173"/>
      <c r="D1097" s="167"/>
    </row>
    <row r="1098" spans="2:4">
      <c r="B1098" s="166"/>
      <c r="C1098" s="173"/>
      <c r="D1098" s="167"/>
    </row>
    <row r="1099" spans="2:4">
      <c r="B1099" s="166"/>
      <c r="C1099" s="173"/>
      <c r="D1099" s="167"/>
    </row>
    <row r="1100" spans="2:4">
      <c r="B1100" s="166"/>
      <c r="C1100" s="173"/>
      <c r="D1100" s="167"/>
    </row>
    <row r="1101" spans="2:4">
      <c r="B1101" s="166"/>
      <c r="C1101" s="173"/>
      <c r="D1101" s="167"/>
    </row>
    <row r="1102" spans="2:4">
      <c r="B1102" s="166"/>
      <c r="C1102" s="173"/>
      <c r="D1102" s="167"/>
    </row>
    <row r="1103" spans="2:4">
      <c r="B1103" s="166"/>
      <c r="C1103" s="173"/>
      <c r="D1103" s="167"/>
    </row>
    <row r="1104" spans="2:4">
      <c r="B1104" s="166"/>
      <c r="C1104" s="173"/>
      <c r="D1104" s="167"/>
    </row>
    <row r="1105" spans="2:4">
      <c r="B1105" s="166"/>
      <c r="C1105" s="173"/>
      <c r="D1105" s="167"/>
    </row>
    <row r="1106" spans="2:4">
      <c r="B1106" s="166"/>
      <c r="C1106" s="173"/>
      <c r="D1106" s="167"/>
    </row>
    <row r="1107" spans="2:4">
      <c r="B1107" s="166"/>
      <c r="C1107" s="173"/>
      <c r="D1107" s="167"/>
    </row>
    <row r="1108" spans="2:4">
      <c r="B1108" s="166"/>
      <c r="C1108" s="173"/>
      <c r="D1108" s="167"/>
    </row>
    <row r="1109" spans="2:4">
      <c r="B1109" s="166"/>
      <c r="C1109" s="173"/>
      <c r="D1109" s="167"/>
    </row>
    <row r="1110" spans="2:4">
      <c r="B1110" s="166"/>
      <c r="C1110" s="173"/>
      <c r="D1110" s="167"/>
    </row>
    <row r="1111" spans="2:4">
      <c r="B1111" s="166"/>
      <c r="C1111" s="173"/>
      <c r="D1111" s="167"/>
    </row>
    <row r="1112" spans="2:4">
      <c r="B1112" s="166"/>
      <c r="C1112" s="173"/>
      <c r="D1112" s="167"/>
    </row>
    <row r="1113" spans="2:4">
      <c r="B1113" s="166"/>
      <c r="C1113" s="173"/>
      <c r="D1113" s="167"/>
    </row>
    <row r="1114" spans="2:4">
      <c r="B1114" s="166"/>
      <c r="C1114" s="173"/>
      <c r="D1114" s="167"/>
    </row>
    <row r="1115" spans="2:4">
      <c r="B1115" s="166"/>
      <c r="C1115" s="173"/>
      <c r="D1115" s="167"/>
    </row>
    <row r="1116" spans="2:4">
      <c r="B1116" s="166"/>
      <c r="C1116" s="173"/>
      <c r="D1116" s="167"/>
    </row>
    <row r="1117" spans="2:4">
      <c r="B1117" s="166"/>
      <c r="C1117" s="173"/>
      <c r="D1117" s="167"/>
    </row>
    <row r="1118" spans="2:4">
      <c r="B1118" s="166"/>
      <c r="C1118" s="173"/>
      <c r="D1118" s="167"/>
    </row>
    <row r="1119" spans="2:4">
      <c r="B1119" s="166"/>
      <c r="C1119" s="173"/>
      <c r="D1119" s="167"/>
    </row>
    <row r="1120" spans="2:4">
      <c r="B1120" s="166"/>
      <c r="C1120" s="173"/>
      <c r="D1120" s="167"/>
    </row>
    <row r="1121" spans="2:4">
      <c r="B1121" s="166"/>
      <c r="C1121" s="173"/>
      <c r="D1121" s="167"/>
    </row>
    <row r="1122" spans="2:4">
      <c r="B1122" s="166"/>
      <c r="C1122" s="173"/>
      <c r="D1122" s="167"/>
    </row>
    <row r="1123" spans="2:4">
      <c r="B1123" s="166"/>
      <c r="C1123" s="173"/>
      <c r="D1123" s="167"/>
    </row>
    <row r="1124" spans="2:4">
      <c r="B1124" s="166"/>
      <c r="C1124" s="173"/>
      <c r="D1124" s="167"/>
    </row>
    <row r="1125" spans="2:4">
      <c r="B1125" s="166"/>
      <c r="C1125" s="173"/>
      <c r="D1125" s="167"/>
    </row>
    <row r="1126" spans="2:4">
      <c r="B1126" s="166"/>
      <c r="C1126" s="173"/>
      <c r="D1126" s="167"/>
    </row>
    <row r="1127" spans="2:4">
      <c r="B1127" s="166"/>
      <c r="C1127" s="173"/>
      <c r="D1127" s="167"/>
    </row>
    <row r="1128" spans="2:4">
      <c r="B1128" s="166"/>
      <c r="C1128" s="173"/>
      <c r="D1128" s="167"/>
    </row>
    <row r="1129" spans="2:4">
      <c r="B1129" s="166"/>
      <c r="C1129" s="173"/>
      <c r="D1129" s="167"/>
    </row>
    <row r="1130" spans="2:4">
      <c r="B1130" s="166"/>
      <c r="C1130" s="173"/>
      <c r="D1130" s="167"/>
    </row>
    <row r="1131" spans="2:4">
      <c r="B1131" s="166"/>
      <c r="C1131" s="173"/>
      <c r="D1131" s="167"/>
    </row>
    <row r="1132" spans="2:4">
      <c r="B1132" s="166"/>
      <c r="C1132" s="173"/>
      <c r="D1132" s="167"/>
    </row>
    <row r="1133" spans="2:4">
      <c r="B1133" s="166"/>
      <c r="C1133" s="173"/>
      <c r="D1133" s="167"/>
    </row>
    <row r="1134" spans="2:4">
      <c r="B1134" s="166"/>
      <c r="C1134" s="173"/>
      <c r="D1134" s="167"/>
    </row>
    <row r="1135" spans="2:4">
      <c r="B1135" s="166"/>
      <c r="C1135" s="173"/>
      <c r="D1135" s="167"/>
    </row>
    <row r="1136" spans="2:4">
      <c r="B1136" s="166"/>
      <c r="C1136" s="173"/>
      <c r="D1136" s="167"/>
    </row>
    <row r="1137" spans="2:4">
      <c r="B1137" s="166"/>
      <c r="C1137" s="173"/>
      <c r="D1137" s="167"/>
    </row>
    <row r="1138" spans="2:4">
      <c r="B1138" s="166"/>
      <c r="C1138" s="173"/>
      <c r="D1138" s="167"/>
    </row>
    <row r="1139" spans="2:4">
      <c r="B1139" s="166"/>
      <c r="C1139" s="173"/>
      <c r="D1139" s="167"/>
    </row>
    <row r="1140" spans="2:4">
      <c r="B1140" s="166"/>
      <c r="C1140" s="173"/>
      <c r="D1140" s="167"/>
    </row>
    <row r="1141" spans="2:4">
      <c r="B1141" s="166"/>
      <c r="C1141" s="173"/>
      <c r="D1141" s="167"/>
    </row>
    <row r="1142" spans="2:4">
      <c r="B1142" s="166"/>
      <c r="C1142" s="173"/>
      <c r="D1142" s="167"/>
    </row>
    <row r="1143" spans="2:4">
      <c r="B1143" s="166"/>
      <c r="C1143" s="173"/>
      <c r="D1143" s="167"/>
    </row>
    <row r="1144" spans="2:4">
      <c r="B1144" s="166"/>
      <c r="C1144" s="173"/>
      <c r="D1144" s="167"/>
    </row>
    <row r="1145" spans="2:4">
      <c r="B1145" s="166"/>
      <c r="C1145" s="173"/>
      <c r="D1145" s="167"/>
    </row>
    <row r="1146" spans="2:4">
      <c r="B1146" s="166"/>
      <c r="C1146" s="173"/>
      <c r="D1146" s="167"/>
    </row>
    <row r="1147" spans="2:4">
      <c r="B1147" s="166"/>
      <c r="C1147" s="173"/>
      <c r="D1147" s="167"/>
    </row>
    <row r="1148" spans="2:4">
      <c r="B1148" s="166"/>
      <c r="C1148" s="173"/>
      <c r="D1148" s="167"/>
    </row>
    <row r="1149" spans="2:4">
      <c r="B1149" s="166"/>
      <c r="C1149" s="173"/>
      <c r="D1149" s="167"/>
    </row>
    <row r="1150" spans="2:4">
      <c r="B1150" s="166"/>
      <c r="C1150" s="173"/>
      <c r="D1150" s="167"/>
    </row>
    <row r="1151" spans="2:4">
      <c r="B1151" s="166"/>
      <c r="C1151" s="173"/>
      <c r="D1151" s="167"/>
    </row>
    <row r="1152" spans="2:4">
      <c r="B1152" s="166"/>
      <c r="C1152" s="173"/>
      <c r="D1152" s="167"/>
    </row>
    <row r="1153" spans="2:4">
      <c r="B1153" s="166"/>
      <c r="C1153" s="173"/>
      <c r="D1153" s="167"/>
    </row>
    <row r="1154" spans="2:4">
      <c r="B1154" s="166"/>
      <c r="C1154" s="173"/>
      <c r="D1154" s="167"/>
    </row>
    <row r="1155" spans="2:4">
      <c r="B1155" s="166"/>
      <c r="C1155" s="173"/>
      <c r="D1155" s="167"/>
    </row>
    <row r="1156" spans="2:4">
      <c r="B1156" s="166"/>
      <c r="C1156" s="173"/>
      <c r="D1156" s="167"/>
    </row>
    <row r="1157" spans="2:4">
      <c r="B1157" s="166"/>
      <c r="C1157" s="173"/>
      <c r="D1157" s="167"/>
    </row>
    <row r="1158" spans="2:4">
      <c r="B1158" s="166"/>
      <c r="C1158" s="173"/>
      <c r="D1158" s="167"/>
    </row>
    <row r="1159" spans="2:4">
      <c r="B1159" s="166"/>
      <c r="C1159" s="173"/>
      <c r="D1159" s="167"/>
    </row>
    <row r="1160" spans="2:4">
      <c r="B1160" s="166"/>
      <c r="C1160" s="173"/>
      <c r="D1160" s="167"/>
    </row>
    <row r="1161" spans="2:4">
      <c r="B1161" s="166"/>
      <c r="C1161" s="173"/>
      <c r="D1161" s="167"/>
    </row>
    <row r="1162" spans="2:4">
      <c r="B1162" s="166"/>
      <c r="C1162" s="173"/>
      <c r="D1162" s="167"/>
    </row>
    <row r="1163" spans="2:4">
      <c r="B1163" s="166"/>
      <c r="C1163" s="173"/>
      <c r="D1163" s="167"/>
    </row>
    <row r="1164" spans="2:4">
      <c r="B1164" s="166"/>
      <c r="C1164" s="173"/>
      <c r="D1164" s="167"/>
    </row>
    <row r="1165" spans="2:4">
      <c r="B1165" s="166"/>
      <c r="C1165" s="173"/>
      <c r="D1165" s="167"/>
    </row>
    <row r="1166" spans="2:4">
      <c r="B1166" s="166"/>
      <c r="C1166" s="173"/>
      <c r="D1166" s="167"/>
    </row>
    <row r="1167" spans="2:4">
      <c r="B1167" s="166"/>
      <c r="C1167" s="173"/>
      <c r="D1167" s="167"/>
    </row>
    <row r="1168" spans="2:4">
      <c r="B1168" s="166"/>
      <c r="C1168" s="173"/>
      <c r="D1168" s="167"/>
    </row>
    <row r="1169" spans="2:4">
      <c r="B1169" s="166"/>
      <c r="C1169" s="173"/>
      <c r="D1169" s="167"/>
    </row>
    <row r="1170" spans="2:4">
      <c r="B1170" s="166"/>
      <c r="C1170" s="173"/>
      <c r="D1170" s="167"/>
    </row>
    <row r="1171" spans="2:4">
      <c r="B1171" s="166"/>
      <c r="C1171" s="173"/>
      <c r="D1171" s="167"/>
    </row>
    <row r="1172" spans="2:4">
      <c r="B1172" s="166"/>
      <c r="C1172" s="173"/>
      <c r="D1172" s="167"/>
    </row>
    <row r="1173" spans="2:4">
      <c r="B1173" s="166"/>
      <c r="C1173" s="173"/>
      <c r="D1173" s="167"/>
    </row>
    <row r="1174" spans="2:4">
      <c r="B1174" s="166"/>
      <c r="C1174" s="173"/>
      <c r="D1174" s="167"/>
    </row>
    <row r="1175" spans="2:4">
      <c r="B1175" s="166"/>
      <c r="C1175" s="173"/>
      <c r="D1175" s="167"/>
    </row>
    <row r="1176" spans="2:4">
      <c r="B1176" s="166"/>
      <c r="C1176" s="173"/>
      <c r="D1176" s="167"/>
    </row>
    <row r="1177" spans="2:4">
      <c r="B1177" s="166"/>
      <c r="C1177" s="173"/>
      <c r="D1177" s="167"/>
    </row>
    <row r="1178" spans="2:4">
      <c r="B1178" s="166"/>
      <c r="C1178" s="173"/>
      <c r="D1178" s="167"/>
    </row>
    <row r="1179" spans="2:4">
      <c r="B1179" s="166"/>
      <c r="C1179" s="173"/>
      <c r="D1179" s="167"/>
    </row>
    <row r="1180" spans="2:4">
      <c r="B1180" s="166"/>
      <c r="C1180" s="173"/>
      <c r="D1180" s="167"/>
    </row>
    <row r="1181" spans="2:4">
      <c r="B1181" s="166"/>
      <c r="C1181" s="173"/>
      <c r="D1181" s="167"/>
    </row>
    <row r="1182" spans="2:4">
      <c r="B1182" s="168"/>
      <c r="C1182" s="176"/>
      <c r="D1182" s="169"/>
    </row>
  </sheetData>
  <mergeCells count="15">
    <mergeCell ref="A2:A114"/>
    <mergeCell ref="B2:B44"/>
    <mergeCell ref="C3:C14"/>
    <mergeCell ref="D5:D8"/>
    <mergeCell ref="C15:C25"/>
    <mergeCell ref="C26:C30"/>
    <mergeCell ref="C31:C36"/>
    <mergeCell ref="C37:C39"/>
    <mergeCell ref="C40:C43"/>
    <mergeCell ref="B45:B70"/>
    <mergeCell ref="C47:C56"/>
    <mergeCell ref="B71:B74"/>
    <mergeCell ref="C72:C74"/>
    <mergeCell ref="B75:B116"/>
    <mergeCell ref="C76:C95"/>
  </mergeCells>
  <conditionalFormatting sqref="C96:C108">
    <cfRule type="duplicateValues" dxfId="3" priority="3"/>
    <cfRule type="duplicateValues" dxfId="2" priority="4"/>
  </conditionalFormatting>
  <conditionalFormatting sqref="D77:D95">
    <cfRule type="duplicateValues" dxfId="1" priority="1"/>
    <cfRule type="duplicateValues" dxfId="0"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A39C-232B-774D-9F2C-F76D6BB37107}">
  <dimension ref="A1:Z34"/>
  <sheetViews>
    <sheetView zoomScale="120" zoomScaleNormal="120" workbookViewId="0">
      <selection activeCell="C24" sqref="C24"/>
    </sheetView>
  </sheetViews>
  <sheetFormatPr defaultColWidth="11.42578125" defaultRowHeight="14.65"/>
  <cols>
    <col min="5" max="5" width="10" bestFit="1" customWidth="1"/>
    <col min="13" max="13" width="15.42578125" customWidth="1"/>
    <col min="14" max="14" width="35.140625" customWidth="1"/>
    <col min="21" max="21" width="23.85546875" customWidth="1"/>
    <col min="25" max="25" width="12.140625" bestFit="1" customWidth="1"/>
    <col min="26" max="26" width="18.7109375" customWidth="1"/>
  </cols>
  <sheetData>
    <row r="1" spans="1:26" ht="18.399999999999999">
      <c r="A1" s="104" t="s">
        <v>591</v>
      </c>
      <c r="B1" s="142" t="s">
        <v>311</v>
      </c>
      <c r="C1" s="142" t="s">
        <v>621</v>
      </c>
      <c r="D1" s="142" t="s">
        <v>50</v>
      </c>
      <c r="E1" s="142" t="s">
        <v>40</v>
      </c>
      <c r="F1" s="142" t="s">
        <v>400</v>
      </c>
      <c r="G1" s="142" t="s">
        <v>57</v>
      </c>
      <c r="H1" s="142" t="s">
        <v>68</v>
      </c>
      <c r="I1" s="142" t="s">
        <v>622</v>
      </c>
      <c r="J1" s="142" t="s">
        <v>623</v>
      </c>
      <c r="K1" s="142" t="s">
        <v>81</v>
      </c>
      <c r="L1" s="142" t="s">
        <v>678</v>
      </c>
      <c r="M1" s="142" t="s">
        <v>8</v>
      </c>
      <c r="N1" s="144"/>
      <c r="R1" t="s">
        <v>679</v>
      </c>
    </row>
    <row r="2" spans="1:26" ht="18.399999999999999">
      <c r="A2" s="104" t="s">
        <v>327</v>
      </c>
      <c r="B2" s="103">
        <v>1</v>
      </c>
      <c r="C2" s="103">
        <v>0</v>
      </c>
      <c r="D2" s="103">
        <v>1</v>
      </c>
      <c r="E2" s="103">
        <v>0</v>
      </c>
      <c r="F2" s="103">
        <v>1</v>
      </c>
      <c r="G2" s="103">
        <v>2</v>
      </c>
      <c r="H2" s="103">
        <v>2</v>
      </c>
      <c r="I2" s="103"/>
      <c r="J2" s="103">
        <v>2</v>
      </c>
      <c r="K2" s="103"/>
      <c r="L2" s="103">
        <v>0</v>
      </c>
      <c r="M2" s="103">
        <f>SUM(B2:J2)</f>
        <v>9</v>
      </c>
      <c r="N2" s="143"/>
    </row>
    <row r="3" spans="1:26" ht="18.399999999999999">
      <c r="A3" s="104" t="s">
        <v>310</v>
      </c>
      <c r="B3" s="103">
        <v>1</v>
      </c>
      <c r="C3" s="103">
        <v>1</v>
      </c>
      <c r="D3" s="103">
        <v>1</v>
      </c>
      <c r="E3" s="103">
        <v>0</v>
      </c>
      <c r="F3" s="103">
        <v>3</v>
      </c>
      <c r="G3" s="103">
        <v>0</v>
      </c>
      <c r="H3" s="103">
        <v>2</v>
      </c>
      <c r="I3" s="103"/>
      <c r="J3" s="103">
        <v>3</v>
      </c>
      <c r="K3" s="103">
        <v>1</v>
      </c>
      <c r="L3" s="103">
        <v>1</v>
      </c>
      <c r="M3" s="103">
        <f>SUM(B3:L3)</f>
        <v>13</v>
      </c>
      <c r="N3" s="143"/>
    </row>
    <row r="4" spans="1:26" ht="18.399999999999999">
      <c r="A4" s="104" t="s">
        <v>569</v>
      </c>
      <c r="B4" s="103">
        <v>1</v>
      </c>
      <c r="C4" s="103">
        <v>2</v>
      </c>
      <c r="D4" s="103">
        <v>2</v>
      </c>
      <c r="E4" s="103">
        <v>2</v>
      </c>
      <c r="F4" s="103">
        <v>2</v>
      </c>
      <c r="G4" s="103">
        <v>2</v>
      </c>
      <c r="H4" s="103">
        <v>3</v>
      </c>
      <c r="I4" s="103">
        <v>2</v>
      </c>
      <c r="J4" s="103"/>
      <c r="K4" s="103"/>
      <c r="L4" s="103"/>
      <c r="M4" s="103">
        <f>SUM(B4:L4)</f>
        <v>16</v>
      </c>
      <c r="N4" s="143"/>
    </row>
    <row r="5" spans="1:26">
      <c r="A5" t="s">
        <v>680</v>
      </c>
      <c r="B5" s="103"/>
      <c r="C5" s="103"/>
      <c r="D5" s="103"/>
      <c r="E5" s="103"/>
      <c r="F5" s="103" t="s">
        <v>681</v>
      </c>
      <c r="G5" s="103"/>
      <c r="H5" s="103"/>
      <c r="I5" s="103"/>
      <c r="J5" s="103" t="s">
        <v>682</v>
      </c>
      <c r="K5" s="103"/>
      <c r="L5" s="103" t="s">
        <v>683</v>
      </c>
      <c r="M5" s="103">
        <f>COUNTA(B5:L5)</f>
        <v>3</v>
      </c>
      <c r="N5" s="143"/>
    </row>
    <row r="6" spans="1:26" ht="20.65">
      <c r="A6" s="405" t="s">
        <v>287</v>
      </c>
      <c r="B6" s="103" t="s">
        <v>284</v>
      </c>
      <c r="C6" s="103" t="s">
        <v>282</v>
      </c>
      <c r="D6" s="103" t="s">
        <v>284</v>
      </c>
      <c r="E6" s="103" t="s">
        <v>282</v>
      </c>
      <c r="F6" s="103" t="s">
        <v>282</v>
      </c>
      <c r="G6" s="103" t="s">
        <v>657</v>
      </c>
      <c r="H6" s="103" t="s">
        <v>657</v>
      </c>
      <c r="I6" s="103"/>
      <c r="J6" s="103"/>
      <c r="K6" s="103"/>
      <c r="L6" s="103"/>
      <c r="M6" s="103">
        <v>3</v>
      </c>
      <c r="N6" s="143"/>
      <c r="U6" s="93"/>
      <c r="V6" s="93"/>
      <c r="W6" s="93"/>
      <c r="X6" s="93"/>
      <c r="Y6" s="93"/>
      <c r="Z6" s="93"/>
    </row>
    <row r="7" spans="1:26">
      <c r="A7" s="405"/>
      <c r="B7" s="103" t="s">
        <v>624</v>
      </c>
      <c r="C7" s="103" t="s">
        <v>625</v>
      </c>
      <c r="D7" s="103" t="s">
        <v>626</v>
      </c>
      <c r="E7" s="103" t="s">
        <v>336</v>
      </c>
      <c r="F7" s="103" t="s">
        <v>624</v>
      </c>
      <c r="G7" s="432" t="s">
        <v>684</v>
      </c>
      <c r="H7" s="432"/>
      <c r="I7" s="103"/>
      <c r="J7" s="103" t="s">
        <v>685</v>
      </c>
      <c r="K7" s="103"/>
      <c r="L7" s="103"/>
      <c r="M7" s="103">
        <v>6</v>
      </c>
      <c r="N7" s="143"/>
    </row>
    <row r="17" spans="9:26">
      <c r="I17" t="s">
        <v>627</v>
      </c>
      <c r="J17">
        <v>38</v>
      </c>
    </row>
    <row r="18" spans="9:26">
      <c r="I18" t="s">
        <v>628</v>
      </c>
      <c r="J18">
        <v>79</v>
      </c>
    </row>
    <row r="19" spans="9:26">
      <c r="I19" t="s">
        <v>8</v>
      </c>
      <c r="J19">
        <f>SUM(J17:J18)</f>
        <v>117</v>
      </c>
    </row>
    <row r="24" spans="9:26" ht="20.65">
      <c r="I24" s="411" t="s">
        <v>469</v>
      </c>
      <c r="J24" s="411"/>
      <c r="K24" s="93"/>
      <c r="L24" s="93"/>
      <c r="M24" s="407" t="s">
        <v>629</v>
      </c>
      <c r="N24" s="407"/>
      <c r="O24" s="407"/>
    </row>
    <row r="25" spans="9:26" ht="20.65">
      <c r="I25" s="103" t="s">
        <v>327</v>
      </c>
      <c r="J25" s="103">
        <v>9</v>
      </c>
      <c r="K25" s="408">
        <f>SUM(J25:J27)</f>
        <v>30</v>
      </c>
      <c r="L25" s="93"/>
      <c r="M25" s="103" t="s">
        <v>327</v>
      </c>
      <c r="N25" s="103">
        <v>8</v>
      </c>
      <c r="O25" s="103"/>
    </row>
    <row r="26" spans="9:26" ht="20.65">
      <c r="I26" s="103" t="s">
        <v>310</v>
      </c>
      <c r="J26" s="103">
        <v>15</v>
      </c>
      <c r="K26" s="409"/>
      <c r="L26" s="93"/>
      <c r="M26" s="103" t="s">
        <v>310</v>
      </c>
      <c r="N26" s="103">
        <v>13</v>
      </c>
      <c r="O26" s="103"/>
    </row>
    <row r="27" spans="9:26" ht="20.65">
      <c r="I27" s="103" t="s">
        <v>630</v>
      </c>
      <c r="J27" s="103">
        <v>6</v>
      </c>
      <c r="K27" s="410"/>
      <c r="L27" s="93"/>
      <c r="M27" s="103" t="s">
        <v>631</v>
      </c>
      <c r="N27" s="103">
        <v>3</v>
      </c>
      <c r="O27" s="103"/>
    </row>
    <row r="28" spans="9:26" ht="20.65">
      <c r="I28" s="103" t="s">
        <v>569</v>
      </c>
      <c r="J28" s="103">
        <v>20</v>
      </c>
      <c r="K28" s="103"/>
      <c r="L28" s="93"/>
      <c r="M28" s="145" t="s">
        <v>8</v>
      </c>
      <c r="N28" s="145">
        <f>SUM(N25:N27)</f>
        <v>24</v>
      </c>
      <c r="O28" s="408">
        <f>SUM(N28,N29)</f>
        <v>30</v>
      </c>
      <c r="Y28" s="93"/>
      <c r="Z28" s="93"/>
    </row>
    <row r="29" spans="9:26" ht="20.65">
      <c r="I29" s="103"/>
      <c r="J29" s="103"/>
      <c r="K29" s="103"/>
      <c r="L29" s="93"/>
      <c r="M29" s="103" t="s">
        <v>287</v>
      </c>
      <c r="N29" s="103">
        <v>6</v>
      </c>
      <c r="O29" s="410"/>
      <c r="Y29" s="93"/>
      <c r="Z29" s="93"/>
    </row>
    <row r="30" spans="9:26" ht="20.65">
      <c r="I30" s="93"/>
      <c r="J30" s="93"/>
      <c r="K30" s="93"/>
      <c r="L30" s="93"/>
    </row>
    <row r="31" spans="9:26" ht="20.65">
      <c r="I31" s="93"/>
      <c r="J31" s="93"/>
      <c r="K31" s="93"/>
      <c r="L31" s="93"/>
    </row>
    <row r="32" spans="9:26" ht="20.65">
      <c r="I32" s="93"/>
      <c r="J32" s="93"/>
      <c r="K32" s="93"/>
      <c r="L32" s="93"/>
      <c r="M32" s="103" t="s">
        <v>569</v>
      </c>
      <c r="N32" s="103">
        <v>16</v>
      </c>
    </row>
    <row r="33" spans="9:26" ht="20.65">
      <c r="I33" s="93"/>
      <c r="J33" s="93"/>
      <c r="K33" s="93"/>
      <c r="L33" s="93"/>
      <c r="M33" s="103" t="s">
        <v>632</v>
      </c>
      <c r="N33" s="103">
        <v>3</v>
      </c>
      <c r="Y33" s="93"/>
      <c r="Z33" s="93"/>
    </row>
    <row r="34" spans="9:26" ht="20.65">
      <c r="I34" s="93"/>
      <c r="J34" s="93"/>
      <c r="K34" s="93"/>
      <c r="L34" s="93"/>
      <c r="M34" s="145" t="s">
        <v>8</v>
      </c>
      <c r="N34" s="145">
        <f>SUM(N32:N33)</f>
        <v>19</v>
      </c>
    </row>
  </sheetData>
  <mergeCells count="6">
    <mergeCell ref="K25:K27"/>
    <mergeCell ref="O28:O29"/>
    <mergeCell ref="I24:J24"/>
    <mergeCell ref="M24:O24"/>
    <mergeCell ref="A6:A7"/>
    <mergeCell ref="G7:H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AC3F-7050-4ABE-93A7-8FE22CD78CC3}">
  <dimension ref="A1:Z112"/>
  <sheetViews>
    <sheetView workbookViewId="0">
      <selection activeCell="A2" sqref="A2:C50"/>
    </sheetView>
  </sheetViews>
  <sheetFormatPr defaultRowHeight="15"/>
  <cols>
    <col min="1" max="1" width="17.28515625" customWidth="1"/>
    <col min="2" max="2" width="24.140625" customWidth="1"/>
    <col min="3" max="3" width="26.5703125" customWidth="1"/>
    <col min="4" max="4" width="19.140625" customWidth="1"/>
    <col min="9" max="9" width="29" customWidth="1"/>
    <col min="10" max="10" width="21.5703125" customWidth="1"/>
    <col min="11" max="11" width="41" customWidth="1"/>
    <col min="12" max="12" width="48.5703125" customWidth="1"/>
    <col min="16" max="16" width="21" bestFit="1" customWidth="1"/>
    <col min="17" max="17" width="18" bestFit="1" customWidth="1"/>
    <col min="18" max="18" width="25.7109375" bestFit="1" customWidth="1"/>
    <col min="19" max="19" width="11.85546875" bestFit="1" customWidth="1"/>
  </cols>
  <sheetData>
    <row r="1" spans="1:6">
      <c r="A1" s="294" t="s">
        <v>463</v>
      </c>
      <c r="B1" s="294" t="s">
        <v>0</v>
      </c>
      <c r="C1" s="294" t="s">
        <v>26</v>
      </c>
      <c r="D1" s="213" t="s">
        <v>289</v>
      </c>
      <c r="F1" s="213"/>
    </row>
    <row r="2" spans="1:6">
      <c r="A2" s="312" t="s">
        <v>282</v>
      </c>
      <c r="B2" s="313" t="s">
        <v>34</v>
      </c>
      <c r="C2" s="313" t="s">
        <v>47</v>
      </c>
      <c r="D2" s="141" t="s">
        <v>535</v>
      </c>
    </row>
    <row r="3" spans="1:6">
      <c r="A3" s="313" t="s">
        <v>179</v>
      </c>
      <c r="B3" s="314" t="s">
        <v>49</v>
      </c>
      <c r="C3" s="313" t="s">
        <v>59</v>
      </c>
      <c r="D3" s="141" t="s">
        <v>535</v>
      </c>
    </row>
    <row r="4" spans="1:6">
      <c r="A4" s="313" t="s">
        <v>185</v>
      </c>
      <c r="B4" s="314" t="s">
        <v>49</v>
      </c>
      <c r="C4" s="313" t="s">
        <v>59</v>
      </c>
      <c r="D4" s="141" t="s">
        <v>535</v>
      </c>
    </row>
    <row r="5" spans="1:6">
      <c r="A5" s="313" t="s">
        <v>196</v>
      </c>
      <c r="B5" s="314" t="s">
        <v>49</v>
      </c>
      <c r="C5" s="313" t="s">
        <v>112</v>
      </c>
      <c r="D5" s="141" t="s">
        <v>475</v>
      </c>
    </row>
    <row r="6" spans="1:6">
      <c r="A6" s="313" t="s">
        <v>198</v>
      </c>
      <c r="B6" s="314" t="s">
        <v>49</v>
      </c>
      <c r="C6" s="313" t="s">
        <v>140</v>
      </c>
      <c r="D6" s="141" t="s">
        <v>535</v>
      </c>
    </row>
    <row r="7" spans="1:6">
      <c r="A7" s="313" t="s">
        <v>203</v>
      </c>
      <c r="B7" s="314" t="s">
        <v>49</v>
      </c>
      <c r="C7" s="313" t="s">
        <v>94</v>
      </c>
      <c r="D7" s="141" t="s">
        <v>535</v>
      </c>
    </row>
    <row r="8" spans="1:6">
      <c r="A8" s="313" t="s">
        <v>207</v>
      </c>
      <c r="B8" s="314" t="s">
        <v>49</v>
      </c>
      <c r="C8" s="313" t="s">
        <v>208</v>
      </c>
      <c r="D8" s="141" t="s">
        <v>535</v>
      </c>
    </row>
    <row r="9" spans="1:6">
      <c r="A9" s="313" t="s">
        <v>210</v>
      </c>
      <c r="B9" s="314" t="s">
        <v>49</v>
      </c>
      <c r="C9" s="313" t="s">
        <v>164</v>
      </c>
      <c r="D9" s="141" t="s">
        <v>535</v>
      </c>
    </row>
    <row r="10" spans="1:6">
      <c r="A10" s="313" t="s">
        <v>211</v>
      </c>
      <c r="B10" s="314" t="s">
        <v>49</v>
      </c>
      <c r="C10" s="313" t="s">
        <v>112</v>
      </c>
      <c r="D10" s="141" t="s">
        <v>535</v>
      </c>
    </row>
    <row r="11" spans="1:6">
      <c r="A11" s="313" t="s">
        <v>222</v>
      </c>
      <c r="B11" s="314" t="s">
        <v>49</v>
      </c>
      <c r="C11" s="313" t="s">
        <v>140</v>
      </c>
      <c r="D11" s="141" t="s">
        <v>535</v>
      </c>
    </row>
    <row r="12" spans="1:6">
      <c r="A12" s="313" t="s">
        <v>223</v>
      </c>
      <c r="B12" s="314" t="s">
        <v>49</v>
      </c>
      <c r="C12" s="313" t="s">
        <v>112</v>
      </c>
      <c r="D12" s="141" t="s">
        <v>475</v>
      </c>
    </row>
    <row r="13" spans="1:6">
      <c r="A13" s="313" t="s">
        <v>237</v>
      </c>
      <c r="B13" s="314" t="s">
        <v>49</v>
      </c>
      <c r="C13" s="313" t="s">
        <v>112</v>
      </c>
      <c r="D13" s="141" t="s">
        <v>535</v>
      </c>
    </row>
    <row r="14" spans="1:6">
      <c r="A14" s="313" t="s">
        <v>244</v>
      </c>
      <c r="B14" s="314" t="s">
        <v>49</v>
      </c>
      <c r="C14" s="313" t="s">
        <v>140</v>
      </c>
      <c r="D14" s="141" t="s">
        <v>535</v>
      </c>
    </row>
    <row r="15" spans="1:6">
      <c r="A15" s="313" t="s">
        <v>183</v>
      </c>
      <c r="B15" s="314" t="s">
        <v>244</v>
      </c>
      <c r="C15" s="313" t="s">
        <v>59</v>
      </c>
      <c r="D15" s="141" t="s">
        <v>535</v>
      </c>
    </row>
    <row r="16" spans="1:6">
      <c r="A16" s="313" t="s">
        <v>187</v>
      </c>
      <c r="B16" s="314" t="s">
        <v>244</v>
      </c>
      <c r="C16" s="313" t="s">
        <v>114</v>
      </c>
      <c r="D16" s="141" t="s">
        <v>535</v>
      </c>
    </row>
    <row r="17" spans="1:26">
      <c r="A17" s="313" t="s">
        <v>192</v>
      </c>
      <c r="B17" s="314" t="s">
        <v>244</v>
      </c>
      <c r="C17" s="313" t="s">
        <v>59</v>
      </c>
      <c r="D17" s="141" t="s">
        <v>535</v>
      </c>
    </row>
    <row r="18" spans="1:26">
      <c r="A18" s="313" t="s">
        <v>194</v>
      </c>
      <c r="B18" s="314" t="s">
        <v>244</v>
      </c>
      <c r="C18" s="313" t="s">
        <v>114</v>
      </c>
      <c r="D18" s="141" t="s">
        <v>535</v>
      </c>
    </row>
    <row r="19" spans="1:26">
      <c r="A19" s="313" t="s">
        <v>205</v>
      </c>
      <c r="B19" s="314" t="s">
        <v>244</v>
      </c>
      <c r="C19" s="313" t="s">
        <v>59</v>
      </c>
      <c r="D19" s="141" t="s">
        <v>535</v>
      </c>
    </row>
    <row r="20" spans="1:26">
      <c r="A20" s="313" t="s">
        <v>218</v>
      </c>
      <c r="B20" s="314" t="s">
        <v>244</v>
      </c>
      <c r="C20" s="313" t="s">
        <v>59</v>
      </c>
      <c r="D20" s="141" t="s">
        <v>535</v>
      </c>
    </row>
    <row r="21" spans="1:26">
      <c r="A21" s="313" t="s">
        <v>220</v>
      </c>
      <c r="B21" s="314" t="s">
        <v>244</v>
      </c>
      <c r="C21" s="313" t="s">
        <v>59</v>
      </c>
      <c r="D21" s="141" t="s">
        <v>535</v>
      </c>
    </row>
    <row r="22" spans="1:26">
      <c r="A22" s="313" t="s">
        <v>231</v>
      </c>
      <c r="B22" s="314" t="s">
        <v>244</v>
      </c>
      <c r="C22" s="313" t="s">
        <v>85</v>
      </c>
      <c r="D22" s="141" t="s">
        <v>535</v>
      </c>
    </row>
    <row r="23" spans="1:26">
      <c r="A23" s="313" t="s">
        <v>235</v>
      </c>
      <c r="B23" s="314" t="s">
        <v>244</v>
      </c>
      <c r="C23" s="313" t="s">
        <v>59</v>
      </c>
      <c r="D23" s="141" t="s">
        <v>535</v>
      </c>
      <c r="Y23" t="s">
        <v>1</v>
      </c>
      <c r="Z23" t="s">
        <v>0</v>
      </c>
    </row>
    <row r="24" spans="1:26">
      <c r="A24" s="313" t="s">
        <v>252</v>
      </c>
      <c r="B24" s="314" t="s">
        <v>244</v>
      </c>
      <c r="C24" s="313" t="s">
        <v>59</v>
      </c>
      <c r="D24" s="141" t="s">
        <v>535</v>
      </c>
      <c r="Y24" t="s">
        <v>282</v>
      </c>
    </row>
    <row r="25" spans="1:26">
      <c r="A25" s="313" t="s">
        <v>258</v>
      </c>
      <c r="B25" s="314" t="s">
        <v>244</v>
      </c>
      <c r="C25" s="313" t="s">
        <v>59</v>
      </c>
      <c r="D25" s="141" t="s">
        <v>535</v>
      </c>
      <c r="Y25" t="s">
        <v>686</v>
      </c>
    </row>
    <row r="26" spans="1:26">
      <c r="A26" s="313" t="s">
        <v>262</v>
      </c>
      <c r="B26" s="314" t="s">
        <v>244</v>
      </c>
      <c r="C26" s="313" t="s">
        <v>59</v>
      </c>
      <c r="D26" s="141" t="s">
        <v>535</v>
      </c>
      <c r="Y26" t="s">
        <v>687</v>
      </c>
    </row>
    <row r="27" spans="1:26">
      <c r="A27" s="313" t="s">
        <v>264</v>
      </c>
      <c r="B27" s="314" t="s">
        <v>244</v>
      </c>
      <c r="C27" s="313" t="s">
        <v>59</v>
      </c>
      <c r="D27" s="141" t="s">
        <v>535</v>
      </c>
      <c r="Y27" t="s">
        <v>688</v>
      </c>
    </row>
    <row r="28" spans="1:26">
      <c r="A28" s="313" t="s">
        <v>189</v>
      </c>
      <c r="B28" s="314" t="s">
        <v>222</v>
      </c>
      <c r="C28" s="313" t="s">
        <v>114</v>
      </c>
      <c r="D28" s="141" t="s">
        <v>535</v>
      </c>
      <c r="Y28" t="s">
        <v>689</v>
      </c>
    </row>
    <row r="29" spans="1:26">
      <c r="A29" s="313" t="s">
        <v>199</v>
      </c>
      <c r="B29" s="314" t="s">
        <v>222</v>
      </c>
      <c r="C29" s="313" t="s">
        <v>59</v>
      </c>
      <c r="D29" s="141" t="s">
        <v>535</v>
      </c>
      <c r="Y29" t="s">
        <v>690</v>
      </c>
    </row>
    <row r="30" spans="1:26">
      <c r="A30" s="313" t="s">
        <v>213</v>
      </c>
      <c r="B30" s="314" t="s">
        <v>222</v>
      </c>
      <c r="C30" s="313" t="s">
        <v>214</v>
      </c>
      <c r="D30" s="141" t="s">
        <v>535</v>
      </c>
      <c r="Y30" t="s">
        <v>691</v>
      </c>
    </row>
    <row r="31" spans="1:26">
      <c r="A31" s="313" t="s">
        <v>225</v>
      </c>
      <c r="B31" s="314" t="s">
        <v>222</v>
      </c>
      <c r="C31" s="313" t="s">
        <v>85</v>
      </c>
      <c r="D31" s="141" t="s">
        <v>535</v>
      </c>
      <c r="Y31" t="s">
        <v>692</v>
      </c>
    </row>
    <row r="32" spans="1:26">
      <c r="A32" s="313" t="s">
        <v>238</v>
      </c>
      <c r="B32" s="314" t="s">
        <v>222</v>
      </c>
      <c r="C32" s="313" t="s">
        <v>59</v>
      </c>
      <c r="D32" s="141" t="s">
        <v>535</v>
      </c>
      <c r="Y32" t="s">
        <v>693</v>
      </c>
    </row>
    <row r="33" spans="1:25">
      <c r="A33" s="313" t="s">
        <v>240</v>
      </c>
      <c r="B33" s="314" t="s">
        <v>222</v>
      </c>
      <c r="C33" s="313" t="s">
        <v>59</v>
      </c>
      <c r="D33" s="141" t="s">
        <v>535</v>
      </c>
      <c r="Y33" t="s">
        <v>694</v>
      </c>
    </row>
    <row r="34" spans="1:25">
      <c r="A34" s="313" t="s">
        <v>250</v>
      </c>
      <c r="B34" s="314" t="s">
        <v>222</v>
      </c>
      <c r="C34" s="313" t="s">
        <v>85</v>
      </c>
      <c r="D34" s="141" t="s">
        <v>535</v>
      </c>
      <c r="Y34" t="s">
        <v>695</v>
      </c>
    </row>
    <row r="35" spans="1:25">
      <c r="A35" s="313" t="s">
        <v>172</v>
      </c>
      <c r="B35" s="314" t="s">
        <v>207</v>
      </c>
      <c r="C35" s="313" t="s">
        <v>59</v>
      </c>
      <c r="D35" s="141" t="s">
        <v>535</v>
      </c>
    </row>
    <row r="36" spans="1:25">
      <c r="A36" s="313" t="s">
        <v>181</v>
      </c>
      <c r="B36" s="314" t="s">
        <v>207</v>
      </c>
      <c r="C36" s="313" t="s">
        <v>59</v>
      </c>
      <c r="D36" s="141" t="s">
        <v>535</v>
      </c>
    </row>
    <row r="37" spans="1:25">
      <c r="A37" s="313" t="s">
        <v>228</v>
      </c>
      <c r="B37" s="314" t="s">
        <v>207</v>
      </c>
      <c r="C37" s="313" t="s">
        <v>85</v>
      </c>
      <c r="D37" s="141" t="s">
        <v>535</v>
      </c>
    </row>
    <row r="38" spans="1:25">
      <c r="A38" s="313" t="s">
        <v>242</v>
      </c>
      <c r="B38" s="314" t="s">
        <v>207</v>
      </c>
      <c r="C38" s="313" t="s">
        <v>59</v>
      </c>
      <c r="D38" s="141" t="s">
        <v>535</v>
      </c>
    </row>
    <row r="39" spans="1:25">
      <c r="A39" s="313" t="s">
        <v>246</v>
      </c>
      <c r="B39" s="314" t="s">
        <v>207</v>
      </c>
      <c r="C39" s="313" t="s">
        <v>59</v>
      </c>
      <c r="D39" s="141" t="s">
        <v>535</v>
      </c>
      <c r="Y39" t="s">
        <v>696</v>
      </c>
    </row>
    <row r="40" spans="1:25">
      <c r="A40" s="313" t="s">
        <v>254</v>
      </c>
      <c r="B40" s="314" t="s">
        <v>207</v>
      </c>
      <c r="C40" s="313" t="s">
        <v>85</v>
      </c>
      <c r="D40" s="141" t="s">
        <v>535</v>
      </c>
    </row>
    <row r="41" spans="1:25">
      <c r="A41" s="313" t="s">
        <v>260</v>
      </c>
      <c r="B41" s="314" t="s">
        <v>207</v>
      </c>
      <c r="C41" s="313" t="s">
        <v>59</v>
      </c>
      <c r="D41" s="141" t="s">
        <v>535</v>
      </c>
    </row>
    <row r="42" spans="1:25">
      <c r="A42" s="313" t="s">
        <v>266</v>
      </c>
      <c r="B42" s="314" t="s">
        <v>207</v>
      </c>
      <c r="C42" s="313" t="s">
        <v>267</v>
      </c>
      <c r="D42" s="141" t="s">
        <v>535</v>
      </c>
    </row>
    <row r="43" spans="1:25">
      <c r="A43" s="313" t="s">
        <v>269</v>
      </c>
      <c r="B43" s="314" t="s">
        <v>207</v>
      </c>
      <c r="C43" s="313" t="s">
        <v>59</v>
      </c>
      <c r="D43" s="141" t="s">
        <v>535</v>
      </c>
    </row>
    <row r="44" spans="1:25">
      <c r="A44" s="313" t="s">
        <v>271</v>
      </c>
      <c r="B44" s="314" t="s">
        <v>207</v>
      </c>
      <c r="C44" s="313" t="s">
        <v>59</v>
      </c>
      <c r="D44" s="141" t="s">
        <v>535</v>
      </c>
    </row>
    <row r="45" spans="1:25">
      <c r="A45" s="313" t="s">
        <v>201</v>
      </c>
      <c r="B45" s="314" t="s">
        <v>198</v>
      </c>
      <c r="C45" s="313" t="s">
        <v>59</v>
      </c>
      <c r="D45" s="141" t="s">
        <v>535</v>
      </c>
    </row>
    <row r="46" spans="1:25">
      <c r="A46" s="313" t="s">
        <v>216</v>
      </c>
      <c r="B46" s="314" t="s">
        <v>198</v>
      </c>
      <c r="C46" s="313" t="s">
        <v>85</v>
      </c>
      <c r="D46" s="141" t="s">
        <v>535</v>
      </c>
    </row>
    <row r="47" spans="1:25">
      <c r="A47" s="313" t="s">
        <v>248</v>
      </c>
      <c r="B47" s="314" t="s">
        <v>198</v>
      </c>
      <c r="C47" s="313" t="s">
        <v>59</v>
      </c>
      <c r="D47" s="141" t="s">
        <v>535</v>
      </c>
    </row>
    <row r="48" spans="1:25">
      <c r="A48" s="313" t="s">
        <v>176</v>
      </c>
      <c r="B48" s="314" t="s">
        <v>223</v>
      </c>
      <c r="C48" s="313" t="s">
        <v>59</v>
      </c>
      <c r="D48" s="141" t="s">
        <v>535</v>
      </c>
    </row>
    <row r="49" spans="1:20">
      <c r="A49" s="313" t="s">
        <v>233</v>
      </c>
      <c r="B49" s="314" t="s">
        <v>223</v>
      </c>
      <c r="C49" s="313" t="s">
        <v>59</v>
      </c>
      <c r="D49" s="141" t="s">
        <v>535</v>
      </c>
    </row>
    <row r="50" spans="1:20">
      <c r="A50" s="313" t="s">
        <v>256</v>
      </c>
      <c r="B50" s="314" t="s">
        <v>196</v>
      </c>
      <c r="C50" s="313" t="s">
        <v>59</v>
      </c>
      <c r="D50" s="141" t="s">
        <v>535</v>
      </c>
    </row>
    <row r="54" spans="1:20">
      <c r="I54" t="s">
        <v>697</v>
      </c>
    </row>
    <row r="56" spans="1:20">
      <c r="O56" s="163"/>
      <c r="P56" s="163"/>
      <c r="Q56" s="163"/>
      <c r="R56" s="163"/>
      <c r="S56" s="163"/>
      <c r="T56" s="163"/>
    </row>
    <row r="57" spans="1:20">
      <c r="I57" s="294" t="s">
        <v>463</v>
      </c>
      <c r="J57" s="294" t="s">
        <v>0</v>
      </c>
      <c r="K57" s="294" t="s">
        <v>26</v>
      </c>
      <c r="L57" s="213" t="s">
        <v>289</v>
      </c>
      <c r="O57" s="163"/>
      <c r="P57" s="163"/>
      <c r="Q57" s="163"/>
      <c r="R57" s="163"/>
      <c r="S57" s="163"/>
      <c r="T57" s="163"/>
    </row>
    <row r="58" spans="1:20">
      <c r="I58" s="313" t="s">
        <v>237</v>
      </c>
      <c r="J58" s="314" t="s">
        <v>49</v>
      </c>
      <c r="K58" s="313" t="s">
        <v>140</v>
      </c>
      <c r="L58" s="141"/>
      <c r="O58" s="163"/>
      <c r="P58" s="322" t="s">
        <v>49</v>
      </c>
      <c r="Q58" s="323" t="s">
        <v>34</v>
      </c>
      <c r="R58" s="323" t="s">
        <v>47</v>
      </c>
      <c r="S58" s="324" t="s">
        <v>535</v>
      </c>
      <c r="T58" s="163"/>
    </row>
    <row r="59" spans="1:20">
      <c r="I59" s="313" t="s">
        <v>211</v>
      </c>
      <c r="J59" s="314" t="s">
        <v>49</v>
      </c>
      <c r="K59" s="313" t="s">
        <v>267</v>
      </c>
      <c r="L59" s="141"/>
      <c r="O59" s="163"/>
      <c r="P59" s="323" t="s">
        <v>196</v>
      </c>
      <c r="Q59" s="325" t="s">
        <v>49</v>
      </c>
      <c r="R59" s="323" t="s">
        <v>112</v>
      </c>
      <c r="S59" s="324" t="s">
        <v>535</v>
      </c>
      <c r="T59" s="163"/>
    </row>
    <row r="60" spans="1:20">
      <c r="I60" s="313" t="s">
        <v>196</v>
      </c>
      <c r="J60" s="314" t="s">
        <v>49</v>
      </c>
      <c r="K60" s="313"/>
      <c r="L60" s="141"/>
      <c r="O60" s="163"/>
      <c r="P60" s="323" t="s">
        <v>198</v>
      </c>
      <c r="Q60" s="325" t="s">
        <v>49</v>
      </c>
      <c r="R60" s="323" t="s">
        <v>140</v>
      </c>
      <c r="S60" s="324" t="s">
        <v>475</v>
      </c>
      <c r="T60" s="163"/>
    </row>
    <row r="61" spans="1:20">
      <c r="I61" s="313" t="s">
        <v>210</v>
      </c>
      <c r="J61" s="314" t="s">
        <v>49</v>
      </c>
      <c r="K61" s="313"/>
      <c r="L61" s="141"/>
      <c r="O61" s="163"/>
      <c r="P61" s="323" t="s">
        <v>207</v>
      </c>
      <c r="Q61" s="325" t="s">
        <v>49</v>
      </c>
      <c r="R61" s="323" t="s">
        <v>208</v>
      </c>
      <c r="S61" s="324" t="s">
        <v>535</v>
      </c>
      <c r="T61" s="163"/>
    </row>
    <row r="62" spans="1:20">
      <c r="I62" s="313" t="s">
        <v>223</v>
      </c>
      <c r="J62" s="314" t="s">
        <v>49</v>
      </c>
      <c r="K62" s="313"/>
      <c r="L62" s="141"/>
      <c r="O62" s="163"/>
      <c r="P62" s="323" t="s">
        <v>210</v>
      </c>
      <c r="Q62" s="325" t="s">
        <v>49</v>
      </c>
      <c r="R62" s="323" t="s">
        <v>164</v>
      </c>
      <c r="S62" s="324" t="s">
        <v>535</v>
      </c>
      <c r="T62" s="163"/>
    </row>
    <row r="63" spans="1:20">
      <c r="I63" s="313" t="s">
        <v>198</v>
      </c>
      <c r="J63" s="314" t="s">
        <v>49</v>
      </c>
      <c r="K63" s="313"/>
      <c r="L63" s="141"/>
      <c r="O63" s="163"/>
      <c r="P63" s="323" t="s">
        <v>211</v>
      </c>
      <c r="Q63" s="325" t="s">
        <v>49</v>
      </c>
      <c r="R63" s="323" t="s">
        <v>112</v>
      </c>
      <c r="S63" s="324" t="s">
        <v>535</v>
      </c>
      <c r="T63" s="163"/>
    </row>
    <row r="64" spans="1:20">
      <c r="I64" s="313" t="s">
        <v>207</v>
      </c>
      <c r="J64" s="314" t="s">
        <v>49</v>
      </c>
      <c r="K64" s="313"/>
      <c r="L64" s="141"/>
      <c r="O64" s="163"/>
      <c r="P64" s="323" t="s">
        <v>222</v>
      </c>
      <c r="Q64" s="325" t="s">
        <v>49</v>
      </c>
      <c r="R64" s="323" t="s">
        <v>140</v>
      </c>
      <c r="S64" s="324" t="s">
        <v>535</v>
      </c>
      <c r="T64" s="163"/>
    </row>
    <row r="65" spans="9:20">
      <c r="I65" s="313" t="s">
        <v>222</v>
      </c>
      <c r="J65" s="314" t="s">
        <v>49</v>
      </c>
      <c r="K65" s="313"/>
      <c r="L65" s="141"/>
      <c r="O65" s="163"/>
      <c r="P65" s="323" t="s">
        <v>223</v>
      </c>
      <c r="Q65" s="325" t="s">
        <v>49</v>
      </c>
      <c r="R65" s="323" t="s">
        <v>112</v>
      </c>
      <c r="S65" s="324" t="s">
        <v>535</v>
      </c>
      <c r="T65" s="163"/>
    </row>
    <row r="66" spans="9:20">
      <c r="I66" s="313" t="s">
        <v>244</v>
      </c>
      <c r="J66" s="314" t="s">
        <v>49</v>
      </c>
      <c r="K66" s="313"/>
      <c r="L66" s="141"/>
      <c r="O66" s="163"/>
      <c r="P66" s="323" t="s">
        <v>237</v>
      </c>
      <c r="Q66" s="325" t="s">
        <v>49</v>
      </c>
      <c r="R66" s="323" t="s">
        <v>112</v>
      </c>
      <c r="S66" s="324" t="s">
        <v>475</v>
      </c>
      <c r="T66" s="163"/>
    </row>
    <row r="67" spans="9:20">
      <c r="I67" s="313" t="s">
        <v>252</v>
      </c>
      <c r="J67" s="313" t="s">
        <v>203</v>
      </c>
      <c r="K67" s="313" t="s">
        <v>140</v>
      </c>
      <c r="L67" s="141"/>
      <c r="O67" s="163"/>
      <c r="P67" s="323" t="s">
        <v>244</v>
      </c>
      <c r="Q67" s="325" t="s">
        <v>49</v>
      </c>
      <c r="R67" s="323" t="s">
        <v>140</v>
      </c>
      <c r="S67" s="324" t="s">
        <v>535</v>
      </c>
      <c r="T67" s="163"/>
    </row>
    <row r="68" spans="9:20">
      <c r="I68" s="313" t="s">
        <v>698</v>
      </c>
      <c r="J68" s="313" t="s">
        <v>203</v>
      </c>
      <c r="K68" s="313" t="s">
        <v>164</v>
      </c>
      <c r="L68" s="141"/>
      <c r="O68" s="163"/>
      <c r="P68" s="323" t="s">
        <v>203</v>
      </c>
      <c r="Q68" s="325" t="s">
        <v>54</v>
      </c>
      <c r="R68" s="323" t="s">
        <v>94</v>
      </c>
      <c r="S68" s="324" t="s">
        <v>535</v>
      </c>
      <c r="T68" s="163"/>
    </row>
    <row r="69" spans="9:20">
      <c r="I69" s="313" t="s">
        <v>699</v>
      </c>
      <c r="J69" s="313" t="s">
        <v>203</v>
      </c>
      <c r="K69" s="313" t="s">
        <v>112</v>
      </c>
      <c r="L69" s="141"/>
      <c r="O69" s="163"/>
      <c r="P69" s="323" t="s">
        <v>266</v>
      </c>
      <c r="Q69" s="325" t="s">
        <v>54</v>
      </c>
      <c r="R69" s="323" t="s">
        <v>267</v>
      </c>
      <c r="S69" s="324" t="s">
        <v>535</v>
      </c>
      <c r="T69" s="163"/>
    </row>
    <row r="70" spans="9:20">
      <c r="I70" s="313" t="s">
        <v>700</v>
      </c>
      <c r="J70" s="313" t="s">
        <v>203</v>
      </c>
      <c r="K70" s="313" t="s">
        <v>112</v>
      </c>
      <c r="L70" s="141"/>
      <c r="O70" s="163"/>
      <c r="P70" s="323" t="s">
        <v>176</v>
      </c>
      <c r="Q70" s="323" t="s">
        <v>203</v>
      </c>
      <c r="R70" s="323" t="s">
        <v>59</v>
      </c>
      <c r="S70" s="324" t="s">
        <v>535</v>
      </c>
      <c r="T70" s="163"/>
    </row>
    <row r="71" spans="9:20">
      <c r="I71" s="313" t="s">
        <v>701</v>
      </c>
      <c r="J71" s="313" t="s">
        <v>203</v>
      </c>
      <c r="K71" s="313" t="s">
        <v>208</v>
      </c>
      <c r="L71" s="141"/>
      <c r="O71" s="163"/>
      <c r="P71" s="323" t="s">
        <v>183</v>
      </c>
      <c r="Q71" s="323" t="s">
        <v>203</v>
      </c>
      <c r="R71" s="323" t="s">
        <v>59</v>
      </c>
      <c r="S71" s="324" t="s">
        <v>535</v>
      </c>
      <c r="T71" s="163"/>
    </row>
    <row r="72" spans="9:20">
      <c r="I72" s="313" t="s">
        <v>702</v>
      </c>
      <c r="J72" s="313" t="s">
        <v>703</v>
      </c>
      <c r="K72" s="313"/>
      <c r="L72" s="141"/>
      <c r="O72" s="163"/>
      <c r="P72" s="323" t="s">
        <v>185</v>
      </c>
      <c r="Q72" s="323" t="s">
        <v>203</v>
      </c>
      <c r="R72" s="323" t="s">
        <v>59</v>
      </c>
      <c r="S72" s="324" t="s">
        <v>535</v>
      </c>
      <c r="T72" s="163"/>
    </row>
    <row r="73" spans="9:20">
      <c r="I73" s="313" t="s">
        <v>704</v>
      </c>
      <c r="J73" s="313" t="s">
        <v>203</v>
      </c>
      <c r="K73" s="313"/>
      <c r="L73" s="141"/>
      <c r="O73" s="163"/>
      <c r="P73" s="323" t="s">
        <v>187</v>
      </c>
      <c r="Q73" s="323" t="s">
        <v>203</v>
      </c>
      <c r="R73" s="323" t="s">
        <v>114</v>
      </c>
      <c r="S73" s="324" t="s">
        <v>535</v>
      </c>
      <c r="T73" s="163"/>
    </row>
    <row r="74" spans="9:20">
      <c r="I74" s="313" t="s">
        <v>705</v>
      </c>
      <c r="J74" s="313" t="s">
        <v>703</v>
      </c>
      <c r="K74" s="313"/>
      <c r="L74" s="141"/>
      <c r="O74" s="163"/>
      <c r="P74" s="323" t="s">
        <v>189</v>
      </c>
      <c r="Q74" s="323" t="s">
        <v>203</v>
      </c>
      <c r="R74" s="323" t="s">
        <v>114</v>
      </c>
      <c r="S74" s="324" t="s">
        <v>535</v>
      </c>
      <c r="T74" s="163"/>
    </row>
    <row r="75" spans="9:20">
      <c r="I75" s="313" t="s">
        <v>706</v>
      </c>
      <c r="J75" s="313" t="s">
        <v>703</v>
      </c>
      <c r="K75" s="313"/>
      <c r="L75" s="141"/>
      <c r="O75" s="163"/>
      <c r="P75" s="323" t="s">
        <v>192</v>
      </c>
      <c r="Q75" s="323" t="s">
        <v>203</v>
      </c>
      <c r="R75" s="323" t="s">
        <v>59</v>
      </c>
      <c r="S75" s="324" t="s">
        <v>535</v>
      </c>
      <c r="T75" s="163"/>
    </row>
    <row r="76" spans="9:20">
      <c r="I76" s="313" t="s">
        <v>707</v>
      </c>
      <c r="J76" s="313" t="s">
        <v>203</v>
      </c>
      <c r="K76" s="313"/>
      <c r="L76" s="141"/>
      <c r="O76" s="163"/>
      <c r="P76" s="323" t="s">
        <v>194</v>
      </c>
      <c r="Q76" s="323" t="s">
        <v>203</v>
      </c>
      <c r="R76" s="323" t="s">
        <v>114</v>
      </c>
      <c r="S76" s="324" t="s">
        <v>535</v>
      </c>
      <c r="T76" s="163"/>
    </row>
    <row r="77" spans="9:20">
      <c r="I77" s="313" t="s">
        <v>708</v>
      </c>
      <c r="J77" s="313" t="s">
        <v>703</v>
      </c>
      <c r="K77" s="313"/>
      <c r="L77" s="141"/>
      <c r="O77" s="163"/>
      <c r="P77" s="323" t="s">
        <v>199</v>
      </c>
      <c r="Q77" s="323" t="s">
        <v>203</v>
      </c>
      <c r="R77" s="323" t="s">
        <v>59</v>
      </c>
      <c r="S77" s="324" t="s">
        <v>535</v>
      </c>
      <c r="T77" s="163"/>
    </row>
    <row r="78" spans="9:20">
      <c r="I78" s="313" t="s">
        <v>709</v>
      </c>
      <c r="J78" s="313" t="s">
        <v>203</v>
      </c>
      <c r="K78" s="313"/>
      <c r="L78" s="141"/>
      <c r="O78" s="163"/>
      <c r="P78" s="323" t="s">
        <v>205</v>
      </c>
      <c r="Q78" s="323" t="s">
        <v>203</v>
      </c>
      <c r="R78" s="323" t="s">
        <v>59</v>
      </c>
      <c r="S78" s="324" t="s">
        <v>535</v>
      </c>
      <c r="T78" s="163"/>
    </row>
    <row r="79" spans="9:20">
      <c r="I79" s="313" t="s">
        <v>710</v>
      </c>
      <c r="J79" s="313" t="s">
        <v>203</v>
      </c>
      <c r="K79" s="313"/>
      <c r="L79" s="141"/>
      <c r="O79" s="163"/>
      <c r="P79" s="323" t="s">
        <v>213</v>
      </c>
      <c r="Q79" s="323" t="s">
        <v>203</v>
      </c>
      <c r="R79" s="323" t="s">
        <v>214</v>
      </c>
      <c r="S79" s="324" t="s">
        <v>535</v>
      </c>
      <c r="T79" s="163"/>
    </row>
    <row r="80" spans="9:20">
      <c r="I80" s="313" t="s">
        <v>711</v>
      </c>
      <c r="J80" s="313" t="s">
        <v>203</v>
      </c>
      <c r="K80" s="313"/>
      <c r="L80" s="141"/>
      <c r="O80" s="163"/>
      <c r="P80" s="323" t="s">
        <v>218</v>
      </c>
      <c r="Q80" s="323" t="s">
        <v>203</v>
      </c>
      <c r="R80" s="323" t="s">
        <v>59</v>
      </c>
      <c r="S80" s="324" t="s">
        <v>535</v>
      </c>
      <c r="T80" s="163"/>
    </row>
    <row r="81" spans="9:20">
      <c r="I81" s="313" t="s">
        <v>712</v>
      </c>
      <c r="J81" s="313" t="s">
        <v>203</v>
      </c>
      <c r="K81" s="313"/>
      <c r="L81" s="141"/>
      <c r="O81" s="163"/>
      <c r="P81" s="323" t="s">
        <v>220</v>
      </c>
      <c r="Q81" s="323" t="s">
        <v>203</v>
      </c>
      <c r="R81" s="323" t="s">
        <v>59</v>
      </c>
      <c r="S81" s="324" t="s">
        <v>535</v>
      </c>
      <c r="T81" s="163"/>
    </row>
    <row r="82" spans="9:20">
      <c r="I82" s="313" t="s">
        <v>176</v>
      </c>
      <c r="J82" s="313" t="s">
        <v>203</v>
      </c>
      <c r="K82" s="313"/>
      <c r="L82" s="141"/>
      <c r="O82" s="163"/>
      <c r="P82" s="323" t="s">
        <v>225</v>
      </c>
      <c r="Q82" s="323" t="s">
        <v>203</v>
      </c>
      <c r="R82" s="323" t="s">
        <v>85</v>
      </c>
      <c r="S82" s="324" t="s">
        <v>535</v>
      </c>
      <c r="T82" s="163"/>
    </row>
    <row r="83" spans="9:20">
      <c r="I83" s="313" t="s">
        <v>713</v>
      </c>
      <c r="J83" s="313" t="s">
        <v>703</v>
      </c>
      <c r="K83" s="313"/>
      <c r="L83" s="141"/>
      <c r="O83" s="163"/>
      <c r="P83" s="323" t="s">
        <v>231</v>
      </c>
      <c r="Q83" s="323" t="s">
        <v>203</v>
      </c>
      <c r="R83" s="323" t="s">
        <v>85</v>
      </c>
      <c r="S83" s="324" t="s">
        <v>535</v>
      </c>
      <c r="T83" s="163"/>
    </row>
    <row r="84" spans="9:20">
      <c r="I84" s="313" t="s">
        <v>714</v>
      </c>
      <c r="J84" s="313" t="s">
        <v>203</v>
      </c>
      <c r="K84" s="313"/>
      <c r="L84" s="141"/>
      <c r="O84" s="163"/>
      <c r="P84" s="323" t="s">
        <v>233</v>
      </c>
      <c r="Q84" s="323" t="s">
        <v>203</v>
      </c>
      <c r="R84" s="323" t="s">
        <v>59</v>
      </c>
      <c r="S84" s="324" t="s">
        <v>535</v>
      </c>
      <c r="T84" s="163"/>
    </row>
    <row r="85" spans="9:20">
      <c r="I85" s="313" t="s">
        <v>715</v>
      </c>
      <c r="J85" s="313" t="s">
        <v>203</v>
      </c>
      <c r="K85" s="313"/>
      <c r="L85" s="141"/>
      <c r="O85" s="163"/>
      <c r="P85" s="323" t="s">
        <v>235</v>
      </c>
      <c r="Q85" s="323" t="s">
        <v>203</v>
      </c>
      <c r="R85" s="323" t="s">
        <v>59</v>
      </c>
      <c r="S85" s="324" t="s">
        <v>535</v>
      </c>
      <c r="T85" s="163"/>
    </row>
    <row r="86" spans="9:20">
      <c r="I86" s="313" t="s">
        <v>716</v>
      </c>
      <c r="J86" s="313" t="s">
        <v>203</v>
      </c>
      <c r="K86" s="313"/>
      <c r="L86" s="141"/>
      <c r="O86" s="163"/>
      <c r="P86" s="323" t="s">
        <v>238</v>
      </c>
      <c r="Q86" s="323" t="s">
        <v>203</v>
      </c>
      <c r="R86" s="323" t="s">
        <v>59</v>
      </c>
      <c r="S86" s="324" t="s">
        <v>535</v>
      </c>
      <c r="T86" s="163"/>
    </row>
    <row r="87" spans="9:20">
      <c r="I87" s="313" t="s">
        <v>262</v>
      </c>
      <c r="J87" s="313" t="s">
        <v>203</v>
      </c>
      <c r="K87" s="313"/>
      <c r="L87" s="141"/>
      <c r="O87" s="163"/>
      <c r="P87" s="323" t="s">
        <v>240</v>
      </c>
      <c r="Q87" s="323" t="s">
        <v>203</v>
      </c>
      <c r="R87" s="323" t="s">
        <v>59</v>
      </c>
      <c r="S87" s="324" t="s">
        <v>535</v>
      </c>
      <c r="T87" s="163"/>
    </row>
    <row r="88" spans="9:20">
      <c r="I88" s="313" t="s">
        <v>717</v>
      </c>
      <c r="J88" s="313" t="s">
        <v>203</v>
      </c>
      <c r="K88" s="313"/>
      <c r="L88" s="141"/>
      <c r="O88" s="163"/>
      <c r="P88" s="323" t="s">
        <v>250</v>
      </c>
      <c r="Q88" s="323" t="s">
        <v>203</v>
      </c>
      <c r="R88" s="323" t="s">
        <v>85</v>
      </c>
      <c r="S88" s="324" t="s">
        <v>535</v>
      </c>
      <c r="T88" s="163"/>
    </row>
    <row r="89" spans="9:20">
      <c r="I89" s="313" t="s">
        <v>718</v>
      </c>
      <c r="J89" s="313" t="s">
        <v>703</v>
      </c>
      <c r="K89" s="313"/>
      <c r="L89" s="141"/>
      <c r="O89" s="163"/>
      <c r="P89" s="323" t="s">
        <v>252</v>
      </c>
      <c r="Q89" s="323" t="s">
        <v>203</v>
      </c>
      <c r="R89" s="323" t="s">
        <v>59</v>
      </c>
      <c r="S89" s="324" t="s">
        <v>535</v>
      </c>
      <c r="T89" s="163"/>
    </row>
    <row r="90" spans="9:20">
      <c r="I90" s="313" t="s">
        <v>719</v>
      </c>
      <c r="J90" s="313" t="s">
        <v>703</v>
      </c>
      <c r="K90" s="313"/>
      <c r="L90" s="141"/>
      <c r="O90" s="163"/>
      <c r="P90" s="323" t="s">
        <v>256</v>
      </c>
      <c r="Q90" s="323" t="s">
        <v>203</v>
      </c>
      <c r="R90" s="323" t="s">
        <v>59</v>
      </c>
      <c r="S90" s="324" t="s">
        <v>535</v>
      </c>
      <c r="T90" s="163"/>
    </row>
    <row r="91" spans="9:20">
      <c r="I91" s="312" t="s">
        <v>282</v>
      </c>
      <c r="J91" s="313" t="s">
        <v>34</v>
      </c>
      <c r="K91" s="313" t="s">
        <v>47</v>
      </c>
      <c r="L91" s="141" t="s">
        <v>535</v>
      </c>
      <c r="O91" s="163"/>
      <c r="P91" s="323" t="s">
        <v>258</v>
      </c>
      <c r="Q91" s="323" t="s">
        <v>203</v>
      </c>
      <c r="R91" s="323" t="s">
        <v>59</v>
      </c>
      <c r="S91" s="324" t="s">
        <v>535</v>
      </c>
      <c r="T91" s="163"/>
    </row>
    <row r="92" spans="9:20">
      <c r="I92" s="313" t="s">
        <v>720</v>
      </c>
      <c r="J92" s="314" t="s">
        <v>266</v>
      </c>
      <c r="K92" s="313" t="s">
        <v>112</v>
      </c>
      <c r="L92" s="141"/>
      <c r="O92" s="163"/>
      <c r="P92" s="323" t="s">
        <v>262</v>
      </c>
      <c r="Q92" s="323" t="s">
        <v>203</v>
      </c>
      <c r="R92" s="323" t="s">
        <v>59</v>
      </c>
      <c r="S92" s="324" t="s">
        <v>535</v>
      </c>
      <c r="T92" s="163"/>
    </row>
    <row r="93" spans="9:20">
      <c r="I93" s="313" t="s">
        <v>721</v>
      </c>
      <c r="J93" s="314" t="s">
        <v>266</v>
      </c>
      <c r="K93" s="313" t="s">
        <v>140</v>
      </c>
      <c r="L93" s="141"/>
      <c r="O93" s="163"/>
      <c r="P93" s="323" t="s">
        <v>264</v>
      </c>
      <c r="Q93" s="323" t="s">
        <v>203</v>
      </c>
      <c r="R93" s="323" t="s">
        <v>59</v>
      </c>
      <c r="S93" s="324" t="s">
        <v>535</v>
      </c>
      <c r="T93" s="163"/>
    </row>
    <row r="94" spans="9:20">
      <c r="I94" s="313" t="s">
        <v>179</v>
      </c>
      <c r="J94" s="314" t="s">
        <v>266</v>
      </c>
      <c r="K94" s="313" t="s">
        <v>112</v>
      </c>
      <c r="L94" s="141"/>
      <c r="O94" s="163"/>
      <c r="P94" s="323" t="s">
        <v>172</v>
      </c>
      <c r="Q94" s="323" t="s">
        <v>266</v>
      </c>
      <c r="R94" s="323" t="s">
        <v>59</v>
      </c>
      <c r="S94" s="324" t="s">
        <v>535</v>
      </c>
      <c r="T94" s="163"/>
    </row>
    <row r="95" spans="9:20">
      <c r="I95" s="313" t="s">
        <v>722</v>
      </c>
      <c r="J95" s="314" t="s">
        <v>266</v>
      </c>
      <c r="K95" s="313"/>
      <c r="L95" s="141"/>
      <c r="O95" s="163"/>
      <c r="P95" s="323" t="s">
        <v>179</v>
      </c>
      <c r="Q95" s="325" t="s">
        <v>266</v>
      </c>
      <c r="R95" s="323" t="s">
        <v>59</v>
      </c>
      <c r="S95" s="324" t="s">
        <v>535</v>
      </c>
      <c r="T95" s="163"/>
    </row>
    <row r="96" spans="9:20">
      <c r="I96" s="313" t="s">
        <v>723</v>
      </c>
      <c r="J96" s="314" t="s">
        <v>266</v>
      </c>
      <c r="K96" s="313"/>
      <c r="L96" s="141"/>
      <c r="O96" s="163"/>
      <c r="P96" s="323" t="s">
        <v>181</v>
      </c>
      <c r="Q96" s="325" t="s">
        <v>266</v>
      </c>
      <c r="R96" s="323" t="s">
        <v>59</v>
      </c>
      <c r="S96" s="324" t="s">
        <v>535</v>
      </c>
      <c r="T96" s="163"/>
    </row>
    <row r="97" spans="9:20">
      <c r="I97" s="313" t="s">
        <v>724</v>
      </c>
      <c r="J97" s="314" t="s">
        <v>266</v>
      </c>
      <c r="K97" s="313"/>
      <c r="L97" s="141"/>
      <c r="O97" s="163"/>
      <c r="P97" s="323" t="s">
        <v>201</v>
      </c>
      <c r="Q97" s="325" t="s">
        <v>266</v>
      </c>
      <c r="R97" s="323" t="s">
        <v>59</v>
      </c>
      <c r="S97" s="324" t="s">
        <v>535</v>
      </c>
      <c r="T97" s="163"/>
    </row>
    <row r="98" spans="9:20">
      <c r="I98" s="313" t="s">
        <v>725</v>
      </c>
      <c r="J98" s="314" t="s">
        <v>266</v>
      </c>
      <c r="K98" s="313" t="s">
        <v>726</v>
      </c>
      <c r="L98" s="141"/>
      <c r="O98" s="163"/>
      <c r="P98" s="323" t="s">
        <v>216</v>
      </c>
      <c r="Q98" s="325" t="s">
        <v>266</v>
      </c>
      <c r="R98" s="323" t="s">
        <v>85</v>
      </c>
      <c r="S98" s="324" t="s">
        <v>535</v>
      </c>
      <c r="T98" s="163"/>
    </row>
    <row r="99" spans="9:20">
      <c r="I99" s="313" t="s">
        <v>727</v>
      </c>
      <c r="J99" s="314" t="s">
        <v>266</v>
      </c>
      <c r="K99" s="313"/>
      <c r="L99" s="141"/>
      <c r="O99" s="163"/>
      <c r="P99" s="323" t="s">
        <v>228</v>
      </c>
      <c r="Q99" s="325" t="s">
        <v>266</v>
      </c>
      <c r="R99" s="323" t="s">
        <v>85</v>
      </c>
      <c r="S99" s="324" t="s">
        <v>535</v>
      </c>
      <c r="T99" s="163"/>
    </row>
    <row r="100" spans="9:20">
      <c r="I100" s="313" t="s">
        <v>728</v>
      </c>
      <c r="J100" s="314" t="s">
        <v>266</v>
      </c>
      <c r="K100" s="313"/>
      <c r="L100" s="141"/>
      <c r="O100" s="163"/>
      <c r="P100" s="323" t="s">
        <v>242</v>
      </c>
      <c r="Q100" s="325" t="s">
        <v>266</v>
      </c>
      <c r="R100" s="323" t="s">
        <v>59</v>
      </c>
      <c r="S100" s="324" t="s">
        <v>535</v>
      </c>
      <c r="T100" s="163"/>
    </row>
    <row r="101" spans="9:20">
      <c r="I101" s="313" t="s">
        <v>729</v>
      </c>
      <c r="J101" s="314" t="s">
        <v>266</v>
      </c>
      <c r="K101" s="313"/>
      <c r="L101" s="141"/>
      <c r="O101" s="163"/>
      <c r="P101" s="323" t="s">
        <v>246</v>
      </c>
      <c r="Q101" s="325" t="s">
        <v>266</v>
      </c>
      <c r="R101" s="323" t="s">
        <v>59</v>
      </c>
      <c r="S101" s="324" t="s">
        <v>535</v>
      </c>
      <c r="T101" s="163"/>
    </row>
    <row r="102" spans="9:20">
      <c r="I102" s="313" t="s">
        <v>730</v>
      </c>
      <c r="J102" s="314" t="s">
        <v>266</v>
      </c>
      <c r="K102" s="313"/>
      <c r="L102" s="141"/>
      <c r="O102" s="163"/>
      <c r="P102" s="323" t="s">
        <v>248</v>
      </c>
      <c r="Q102" s="325" t="s">
        <v>266</v>
      </c>
      <c r="R102" s="323" t="s">
        <v>59</v>
      </c>
      <c r="S102" s="324" t="s">
        <v>535</v>
      </c>
      <c r="T102" s="163"/>
    </row>
    <row r="103" spans="9:20">
      <c r="I103" s="313" t="s">
        <v>731</v>
      </c>
      <c r="J103" s="314" t="s">
        <v>266</v>
      </c>
      <c r="K103" s="313"/>
      <c r="L103" s="141"/>
      <c r="O103" s="163"/>
      <c r="P103" s="323" t="s">
        <v>254</v>
      </c>
      <c r="Q103" s="325" t="s">
        <v>266</v>
      </c>
      <c r="R103" s="323" t="s">
        <v>85</v>
      </c>
      <c r="S103" s="324" t="s">
        <v>535</v>
      </c>
      <c r="T103" s="163"/>
    </row>
    <row r="104" spans="9:20">
      <c r="I104" s="313" t="s">
        <v>732</v>
      </c>
      <c r="J104" s="314" t="s">
        <v>266</v>
      </c>
      <c r="K104" s="313"/>
      <c r="L104" s="141"/>
      <c r="O104" s="163"/>
      <c r="P104" s="323" t="s">
        <v>260</v>
      </c>
      <c r="Q104" s="325" t="s">
        <v>266</v>
      </c>
      <c r="R104" s="323" t="s">
        <v>59</v>
      </c>
      <c r="S104" s="324" t="s">
        <v>535</v>
      </c>
      <c r="T104" s="163"/>
    </row>
    <row r="105" spans="9:20">
      <c r="I105" s="313" t="s">
        <v>266</v>
      </c>
      <c r="J105" s="314" t="s">
        <v>694</v>
      </c>
      <c r="K105" s="313"/>
      <c r="L105" s="141"/>
      <c r="O105" s="163"/>
      <c r="P105" s="323" t="s">
        <v>269</v>
      </c>
      <c r="Q105" s="325" t="s">
        <v>266</v>
      </c>
      <c r="R105" s="323" t="s">
        <v>59</v>
      </c>
      <c r="S105" s="324" t="s">
        <v>535</v>
      </c>
      <c r="T105" s="163"/>
    </row>
    <row r="106" spans="9:20">
      <c r="I106" s="313" t="s">
        <v>203</v>
      </c>
      <c r="J106" s="314" t="s">
        <v>282</v>
      </c>
      <c r="K106" s="313"/>
      <c r="L106" s="141"/>
      <c r="O106" s="163"/>
      <c r="P106" s="323" t="s">
        <v>271</v>
      </c>
      <c r="Q106" s="325" t="s">
        <v>266</v>
      </c>
      <c r="R106" s="323" t="s">
        <v>59</v>
      </c>
      <c r="S106" s="324" t="s">
        <v>535</v>
      </c>
      <c r="T106" s="163"/>
    </row>
    <row r="107" spans="9:20">
      <c r="I107" s="313"/>
      <c r="J107" s="314"/>
      <c r="K107" s="313"/>
      <c r="L107" s="141"/>
    </row>
    <row r="108" spans="9:20">
      <c r="I108" s="313"/>
      <c r="J108" s="314"/>
      <c r="K108" s="313"/>
      <c r="L108" s="141"/>
    </row>
    <row r="109" spans="9:20">
      <c r="I109" s="313"/>
      <c r="J109" s="314"/>
      <c r="K109" s="313"/>
      <c r="L109" s="141"/>
    </row>
    <row r="110" spans="9:20">
      <c r="I110" s="313"/>
      <c r="J110" s="314"/>
      <c r="K110" s="313"/>
      <c r="L110" s="141"/>
    </row>
    <row r="111" spans="9:20">
      <c r="I111" s="313"/>
      <c r="J111" s="314"/>
      <c r="K111" s="313"/>
      <c r="L111" s="141"/>
    </row>
    <row r="112" spans="9:20">
      <c r="I112" s="313"/>
      <c r="J112" s="314"/>
      <c r="K112" s="313"/>
      <c r="L112" s="141"/>
    </row>
  </sheetData>
  <sortState xmlns:xlrd2="http://schemas.microsoft.com/office/spreadsheetml/2017/richdata2" ref="A2:D50">
    <sortCondition descending="1" ref="B2:B50"/>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13912-0336-4902-A666-AED1B1FF59C3}">
  <sheetPr filterMode="1"/>
  <dimension ref="A1:P57"/>
  <sheetViews>
    <sheetView workbookViewId="0">
      <selection activeCell="A2" sqref="A2:C21"/>
    </sheetView>
  </sheetViews>
  <sheetFormatPr defaultRowHeight="15"/>
  <cols>
    <col min="1" max="1" width="26.5703125" customWidth="1"/>
    <col min="2" max="2" width="21" customWidth="1"/>
    <col min="3" max="3" width="28.7109375" customWidth="1"/>
    <col min="4" max="4" width="21.85546875" customWidth="1"/>
    <col min="7" max="7" width="30" customWidth="1"/>
    <col min="8" max="8" width="16.140625" customWidth="1"/>
    <col min="9" max="9" width="25.7109375" bestFit="1" customWidth="1"/>
    <col min="11" max="11" width="14" customWidth="1"/>
    <col min="15" max="15" width="26.5703125" customWidth="1"/>
  </cols>
  <sheetData>
    <row r="1" spans="1:4">
      <c r="A1" s="294" t="s">
        <v>463</v>
      </c>
      <c r="B1" s="294" t="s">
        <v>0</v>
      </c>
      <c r="C1" s="294" t="s">
        <v>26</v>
      </c>
      <c r="D1" s="213" t="s">
        <v>289</v>
      </c>
    </row>
    <row r="2" spans="1:4" hidden="1">
      <c r="A2" s="308" t="s">
        <v>42</v>
      </c>
      <c r="B2" s="309" t="s">
        <v>34</v>
      </c>
      <c r="C2" s="309" t="s">
        <v>47</v>
      </c>
    </row>
    <row r="3" spans="1:4" hidden="1">
      <c r="A3" s="309" t="s">
        <v>129</v>
      </c>
      <c r="B3" s="309" t="s">
        <v>42</v>
      </c>
      <c r="C3" s="309" t="s">
        <v>108</v>
      </c>
      <c r="D3" s="320" t="s">
        <v>97</v>
      </c>
    </row>
    <row r="4" spans="1:4" hidden="1">
      <c r="A4" s="309" t="s">
        <v>99</v>
      </c>
      <c r="B4" s="309" t="s">
        <v>42</v>
      </c>
      <c r="C4" s="309" t="s">
        <v>536</v>
      </c>
      <c r="D4" t="s">
        <v>733</v>
      </c>
    </row>
    <row r="5" spans="1:4">
      <c r="A5" s="309" t="s">
        <v>107</v>
      </c>
      <c r="B5" s="309" t="s">
        <v>42</v>
      </c>
      <c r="C5" s="309" t="s">
        <v>108</v>
      </c>
      <c r="D5" t="s">
        <v>734</v>
      </c>
    </row>
    <row r="6" spans="1:4" hidden="1">
      <c r="A6" s="309" t="s">
        <v>111</v>
      </c>
      <c r="B6" s="309" t="s">
        <v>42</v>
      </c>
      <c r="C6" s="309" t="s">
        <v>112</v>
      </c>
      <c r="D6" s="320" t="s">
        <v>734</v>
      </c>
    </row>
    <row r="7" spans="1:4" hidden="1">
      <c r="A7" s="309" t="s">
        <v>121</v>
      </c>
      <c r="B7" s="309" t="s">
        <v>42</v>
      </c>
      <c r="C7" s="309" t="s">
        <v>112</v>
      </c>
      <c r="D7" s="320" t="s">
        <v>97</v>
      </c>
    </row>
    <row r="8" spans="1:4" hidden="1">
      <c r="A8" s="309" t="s">
        <v>89</v>
      </c>
      <c r="B8" s="309" t="s">
        <v>129</v>
      </c>
      <c r="C8" s="309" t="s">
        <v>90</v>
      </c>
      <c r="D8" s="319" t="s">
        <v>97</v>
      </c>
    </row>
    <row r="9" spans="1:4" hidden="1">
      <c r="A9" s="309" t="s">
        <v>96</v>
      </c>
      <c r="B9" s="309" t="s">
        <v>129</v>
      </c>
      <c r="C9" s="309" t="s">
        <v>59</v>
      </c>
      <c r="D9" t="s">
        <v>97</v>
      </c>
    </row>
    <row r="10" spans="1:4" hidden="1">
      <c r="A10" s="309" t="s">
        <v>103</v>
      </c>
      <c r="B10" s="309" t="s">
        <v>129</v>
      </c>
      <c r="C10" s="309" t="s">
        <v>59</v>
      </c>
      <c r="D10" t="s">
        <v>97</v>
      </c>
    </row>
    <row r="11" spans="1:4" hidden="1">
      <c r="A11" s="309" t="s">
        <v>109</v>
      </c>
      <c r="B11" s="309" t="s">
        <v>129</v>
      </c>
      <c r="C11" s="309" t="s">
        <v>59</v>
      </c>
      <c r="D11" t="s">
        <v>97</v>
      </c>
    </row>
    <row r="12" spans="1:4" hidden="1">
      <c r="A12" s="309" t="s">
        <v>118</v>
      </c>
      <c r="B12" s="309" t="s">
        <v>129</v>
      </c>
      <c r="C12" s="309" t="s">
        <v>59</v>
      </c>
      <c r="D12" t="s">
        <v>735</v>
      </c>
    </row>
    <row r="13" spans="1:4" hidden="1">
      <c r="A13" s="309" t="s">
        <v>122</v>
      </c>
      <c r="B13" s="309" t="s">
        <v>129</v>
      </c>
      <c r="C13" s="309" t="s">
        <v>85</v>
      </c>
      <c r="D13" t="s">
        <v>97</v>
      </c>
    </row>
    <row r="14" spans="1:4" hidden="1">
      <c r="A14" s="309" t="s">
        <v>124</v>
      </c>
      <c r="B14" s="309" t="s">
        <v>129</v>
      </c>
      <c r="C14" s="309" t="s">
        <v>114</v>
      </c>
      <c r="D14" s="320" t="s">
        <v>97</v>
      </c>
    </row>
    <row r="15" spans="1:4" hidden="1">
      <c r="A15" s="309" t="s">
        <v>84</v>
      </c>
      <c r="B15" s="309" t="s">
        <v>107</v>
      </c>
      <c r="C15" s="309" t="s">
        <v>85</v>
      </c>
      <c r="D15" s="319" t="s">
        <v>734</v>
      </c>
    </row>
    <row r="16" spans="1:4" hidden="1">
      <c r="A16" s="309" t="s">
        <v>93</v>
      </c>
      <c r="B16" s="309" t="s">
        <v>107</v>
      </c>
      <c r="C16" s="309" t="s">
        <v>94</v>
      </c>
      <c r="D16" s="319" t="s">
        <v>86</v>
      </c>
    </row>
    <row r="17" spans="1:8" hidden="1">
      <c r="A17" s="309" t="s">
        <v>105</v>
      </c>
      <c r="B17" s="309" t="s">
        <v>107</v>
      </c>
      <c r="C17" s="309" t="s">
        <v>59</v>
      </c>
      <c r="D17" t="s">
        <v>734</v>
      </c>
    </row>
    <row r="18" spans="1:8" hidden="1">
      <c r="A18" s="309" t="s">
        <v>113</v>
      </c>
      <c r="B18" s="309" t="s">
        <v>107</v>
      </c>
      <c r="C18" s="309" t="s">
        <v>114</v>
      </c>
      <c r="D18" t="s">
        <v>734</v>
      </c>
    </row>
    <row r="19" spans="1:8" hidden="1">
      <c r="A19" s="309" t="s">
        <v>116</v>
      </c>
      <c r="B19" s="309" t="s">
        <v>107</v>
      </c>
      <c r="C19" s="309" t="s">
        <v>85</v>
      </c>
      <c r="D19" s="320" t="s">
        <v>734</v>
      </c>
      <c r="G19" t="s">
        <v>1</v>
      </c>
      <c r="H19" t="s">
        <v>0</v>
      </c>
    </row>
    <row r="20" spans="1:8" hidden="1">
      <c r="A20" s="309" t="s">
        <v>126</v>
      </c>
      <c r="B20" s="309" t="s">
        <v>107</v>
      </c>
      <c r="C20" s="309" t="s">
        <v>59</v>
      </c>
      <c r="D20" t="s">
        <v>86</v>
      </c>
      <c r="G20" t="s">
        <v>657</v>
      </c>
      <c r="H20" t="s">
        <v>579</v>
      </c>
    </row>
    <row r="21" spans="1:8" hidden="1">
      <c r="A21" s="309" t="s">
        <v>128</v>
      </c>
      <c r="B21" s="309" t="s">
        <v>107</v>
      </c>
      <c r="C21" s="309" t="s">
        <v>85</v>
      </c>
      <c r="D21" s="320" t="s">
        <v>86</v>
      </c>
      <c r="G21" t="s">
        <v>736</v>
      </c>
      <c r="H21" t="s">
        <v>657</v>
      </c>
    </row>
    <row r="22" spans="1:8">
      <c r="G22" t="s">
        <v>737</v>
      </c>
      <c r="H22" t="s">
        <v>657</v>
      </c>
    </row>
    <row r="23" spans="1:8">
      <c r="G23" t="s">
        <v>738</v>
      </c>
      <c r="H23" t="s">
        <v>657</v>
      </c>
    </row>
    <row r="24" spans="1:8">
      <c r="G24" t="s">
        <v>739</v>
      </c>
      <c r="H24" t="s">
        <v>738</v>
      </c>
    </row>
    <row r="25" spans="1:8">
      <c r="A25" s="294"/>
      <c r="B25" s="294"/>
      <c r="C25" s="318"/>
      <c r="G25" t="s">
        <v>740</v>
      </c>
      <c r="H25" t="s">
        <v>738</v>
      </c>
    </row>
    <row r="28" spans="1:8">
      <c r="G28" t="s">
        <v>696</v>
      </c>
      <c r="H28" t="s">
        <v>741</v>
      </c>
    </row>
    <row r="29" spans="1:8">
      <c r="G29" t="s">
        <v>739</v>
      </c>
      <c r="H29" t="s">
        <v>741</v>
      </c>
    </row>
    <row r="30" spans="1:8">
      <c r="G30" t="s">
        <v>695</v>
      </c>
      <c r="H30" t="s">
        <v>741</v>
      </c>
    </row>
    <row r="32" spans="1:8">
      <c r="G32" t="s">
        <v>742</v>
      </c>
      <c r="H32" t="s">
        <v>696</v>
      </c>
    </row>
    <row r="33" spans="7:16">
      <c r="G33" t="s">
        <v>743</v>
      </c>
      <c r="H33" t="s">
        <v>696</v>
      </c>
    </row>
    <row r="38" spans="7:16">
      <c r="G38" s="308" t="s">
        <v>42</v>
      </c>
      <c r="H38" s="309" t="s">
        <v>34</v>
      </c>
      <c r="I38" s="309" t="s">
        <v>47</v>
      </c>
      <c r="O38" s="321" t="s">
        <v>657</v>
      </c>
    </row>
    <row r="39" spans="7:16">
      <c r="G39" s="309" t="s">
        <v>107</v>
      </c>
      <c r="H39" s="309" t="s">
        <v>42</v>
      </c>
      <c r="I39" s="309" t="s">
        <v>108</v>
      </c>
      <c r="P39" t="s">
        <v>738</v>
      </c>
    </row>
    <row r="40" spans="7:16">
      <c r="G40" s="309" t="s">
        <v>111</v>
      </c>
      <c r="H40" s="309" t="s">
        <v>42</v>
      </c>
      <c r="I40" s="309" t="s">
        <v>112</v>
      </c>
    </row>
    <row r="41" spans="7:16">
      <c r="G41" s="309" t="s">
        <v>121</v>
      </c>
      <c r="H41" s="309" t="s">
        <v>42</v>
      </c>
      <c r="I41" s="309" t="s">
        <v>112</v>
      </c>
    </row>
    <row r="42" spans="7:16">
      <c r="G42" s="309" t="s">
        <v>129</v>
      </c>
      <c r="H42" s="309" t="s">
        <v>42</v>
      </c>
      <c r="I42" s="309" t="s">
        <v>108</v>
      </c>
    </row>
    <row r="43" spans="7:16">
      <c r="G43" s="309" t="s">
        <v>99</v>
      </c>
      <c r="H43" s="309" t="s">
        <v>741</v>
      </c>
      <c r="I43" s="309" t="s">
        <v>94</v>
      </c>
    </row>
    <row r="44" spans="7:16">
      <c r="G44" s="309" t="s">
        <v>84</v>
      </c>
      <c r="H44" s="309" t="s">
        <v>744</v>
      </c>
      <c r="I44" s="309" t="s">
        <v>85</v>
      </c>
      <c r="P44" t="s">
        <v>695</v>
      </c>
    </row>
    <row r="45" spans="7:16">
      <c r="G45" s="309" t="s">
        <v>89</v>
      </c>
      <c r="H45" s="309" t="s">
        <v>744</v>
      </c>
      <c r="I45" s="309" t="s">
        <v>90</v>
      </c>
      <c r="P45" t="s">
        <v>739</v>
      </c>
    </row>
    <row r="46" spans="7:16">
      <c r="G46" s="309" t="s">
        <v>96</v>
      </c>
      <c r="H46" s="309" t="s">
        <v>99</v>
      </c>
      <c r="I46" s="309" t="s">
        <v>59</v>
      </c>
      <c r="P46" t="s">
        <v>736</v>
      </c>
    </row>
    <row r="47" spans="7:16">
      <c r="G47" s="309" t="s">
        <v>103</v>
      </c>
      <c r="H47" s="309" t="s">
        <v>99</v>
      </c>
      <c r="I47" s="309" t="s">
        <v>59</v>
      </c>
      <c r="P47" t="s">
        <v>737</v>
      </c>
    </row>
    <row r="48" spans="7:16">
      <c r="G48" s="309" t="s">
        <v>105</v>
      </c>
      <c r="H48" s="309" t="s">
        <v>99</v>
      </c>
      <c r="I48" s="309" t="s">
        <v>59</v>
      </c>
    </row>
    <row r="49" spans="7:9">
      <c r="G49" s="309" t="s">
        <v>109</v>
      </c>
      <c r="H49" s="309" t="s">
        <v>99</v>
      </c>
      <c r="I49" s="309" t="s">
        <v>59</v>
      </c>
    </row>
    <row r="50" spans="7:9">
      <c r="G50" s="309" t="s">
        <v>113</v>
      </c>
      <c r="H50" s="309" t="s">
        <v>99</v>
      </c>
      <c r="I50" s="309" t="s">
        <v>114</v>
      </c>
    </row>
    <row r="51" spans="7:9">
      <c r="G51" s="309" t="s">
        <v>116</v>
      </c>
      <c r="H51" s="309" t="s">
        <v>99</v>
      </c>
      <c r="I51" s="309" t="s">
        <v>85</v>
      </c>
    </row>
    <row r="52" spans="7:9">
      <c r="G52" s="309" t="s">
        <v>118</v>
      </c>
      <c r="H52" s="309" t="s">
        <v>744</v>
      </c>
      <c r="I52" s="309" t="s">
        <v>59</v>
      </c>
    </row>
    <row r="53" spans="7:9">
      <c r="G53" s="309" t="s">
        <v>122</v>
      </c>
      <c r="H53" s="309" t="s">
        <v>744</v>
      </c>
      <c r="I53" s="309" t="s">
        <v>85</v>
      </c>
    </row>
    <row r="54" spans="7:9">
      <c r="G54" s="309" t="s">
        <v>124</v>
      </c>
      <c r="H54" s="309" t="s">
        <v>744</v>
      </c>
      <c r="I54" s="309" t="s">
        <v>114</v>
      </c>
    </row>
    <row r="55" spans="7:9">
      <c r="G55" s="309" t="s">
        <v>128</v>
      </c>
      <c r="H55" s="309" t="s">
        <v>744</v>
      </c>
      <c r="I55" s="309" t="s">
        <v>85</v>
      </c>
    </row>
    <row r="56" spans="7:9">
      <c r="G56" s="309" t="s">
        <v>93</v>
      </c>
      <c r="H56" s="309" t="s">
        <v>744</v>
      </c>
      <c r="I56" s="309" t="s">
        <v>94</v>
      </c>
    </row>
    <row r="57" spans="7:9">
      <c r="G57" s="309" t="s">
        <v>126</v>
      </c>
      <c r="H57" s="309" t="s">
        <v>93</v>
      </c>
      <c r="I57" s="309" t="s">
        <v>59</v>
      </c>
    </row>
  </sheetData>
  <autoFilter ref="A1:D21" xr:uid="{A4313912-0336-4902-A666-AED1B1FF59C3}">
    <filterColumn colId="1">
      <filters>
        <filter val="Manjeet singh"/>
      </filters>
    </filterColumn>
  </autoFilter>
  <sortState xmlns:xlrd2="http://schemas.microsoft.com/office/spreadsheetml/2017/richdata2" ref="G39:I56">
    <sortCondition ref="H39:H56"/>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A09D-E362-4C02-9CFD-67EF4BE7A567}">
  <dimension ref="A1:D19"/>
  <sheetViews>
    <sheetView workbookViewId="0">
      <selection activeCell="A2" sqref="A2:C12"/>
    </sheetView>
  </sheetViews>
  <sheetFormatPr defaultRowHeight="15"/>
  <cols>
    <col min="1" max="1" width="23.140625" customWidth="1"/>
    <col min="2" max="2" width="28.42578125" customWidth="1"/>
    <col min="3" max="3" width="37.85546875" customWidth="1"/>
  </cols>
  <sheetData>
    <row r="1" spans="1:4">
      <c r="A1" s="294" t="s">
        <v>463</v>
      </c>
      <c r="B1" s="294" t="s">
        <v>0</v>
      </c>
      <c r="C1" s="294" t="s">
        <v>26</v>
      </c>
      <c r="D1" s="213" t="s">
        <v>289</v>
      </c>
    </row>
    <row r="2" spans="1:4">
      <c r="A2" s="306" t="s">
        <v>54</v>
      </c>
      <c r="B2" s="307" t="s">
        <v>34</v>
      </c>
      <c r="C2" s="307" t="s">
        <v>532</v>
      </c>
    </row>
    <row r="3" spans="1:4">
      <c r="A3" s="306" t="s">
        <v>65</v>
      </c>
      <c r="B3" s="307" t="s">
        <v>34</v>
      </c>
      <c r="C3" s="307" t="s">
        <v>533</v>
      </c>
    </row>
    <row r="4" spans="1:4">
      <c r="A4" s="306" t="s">
        <v>51</v>
      </c>
      <c r="B4" s="306" t="s">
        <v>65</v>
      </c>
      <c r="C4" s="307" t="s">
        <v>534</v>
      </c>
    </row>
    <row r="5" spans="1:4">
      <c r="A5" s="306" t="s">
        <v>58</v>
      </c>
      <c r="B5" s="306" t="s">
        <v>65</v>
      </c>
      <c r="C5" s="307" t="s">
        <v>114</v>
      </c>
    </row>
    <row r="6" spans="1:4">
      <c r="A6" s="306" t="s">
        <v>62</v>
      </c>
      <c r="B6" s="306" t="s">
        <v>65</v>
      </c>
      <c r="C6" s="307" t="s">
        <v>534</v>
      </c>
    </row>
    <row r="7" spans="1:4">
      <c r="A7" s="306" t="s">
        <v>69</v>
      </c>
      <c r="B7" s="306" t="s">
        <v>65</v>
      </c>
      <c r="C7" s="307" t="s">
        <v>534</v>
      </c>
    </row>
    <row r="8" spans="1:4">
      <c r="A8" s="306" t="s">
        <v>72</v>
      </c>
      <c r="B8" s="306" t="s">
        <v>65</v>
      </c>
      <c r="C8" s="307" t="s">
        <v>534</v>
      </c>
    </row>
    <row r="9" spans="1:4">
      <c r="A9" s="306" t="s">
        <v>75</v>
      </c>
      <c r="B9" s="306" t="s">
        <v>65</v>
      </c>
      <c r="C9" s="307" t="s">
        <v>534</v>
      </c>
    </row>
    <row r="10" spans="1:4">
      <c r="A10" s="306" t="s">
        <v>78</v>
      </c>
      <c r="B10" s="306" t="s">
        <v>65</v>
      </c>
      <c r="C10" s="307" t="s">
        <v>85</v>
      </c>
    </row>
    <row r="11" spans="1:4">
      <c r="A11" s="306" t="s">
        <v>82</v>
      </c>
      <c r="B11" s="306" t="s">
        <v>65</v>
      </c>
      <c r="C11" s="307" t="s">
        <v>534</v>
      </c>
    </row>
    <row r="12" spans="1:4">
      <c r="A12" s="306" t="s">
        <v>35</v>
      </c>
      <c r="B12" s="306" t="s">
        <v>65</v>
      </c>
      <c r="C12" s="307" t="s">
        <v>534</v>
      </c>
    </row>
    <row r="13" spans="1:4">
      <c r="A13" s="311"/>
      <c r="B13" s="311"/>
      <c r="C13" s="311"/>
    </row>
    <row r="14" spans="1:4">
      <c r="A14" s="311"/>
      <c r="B14" s="311"/>
      <c r="C14" s="311"/>
    </row>
    <row r="15" spans="1:4">
      <c r="A15" s="311"/>
      <c r="B15" s="311"/>
      <c r="C15" s="311"/>
    </row>
    <row r="16" spans="1:4">
      <c r="A16" s="311"/>
      <c r="B16" s="311"/>
      <c r="C16" s="311"/>
    </row>
    <row r="17" spans="1:3">
      <c r="A17" s="311"/>
      <c r="B17" s="311"/>
      <c r="C17" s="311"/>
    </row>
    <row r="18" spans="1:3">
      <c r="A18" s="311"/>
      <c r="B18" s="311"/>
      <c r="C18" s="311"/>
    </row>
    <row r="19" spans="1:3">
      <c r="A19" s="311"/>
      <c r="B19" s="311"/>
      <c r="C19" s="3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28D5-D5BB-4A3E-80A2-8D20277A9D27}">
  <sheetPr filterMode="1"/>
  <dimension ref="A1:F24"/>
  <sheetViews>
    <sheetView workbookViewId="0">
      <selection activeCell="A2" sqref="A2:C19"/>
    </sheetView>
  </sheetViews>
  <sheetFormatPr defaultRowHeight="15"/>
  <cols>
    <col min="1" max="1" width="20.42578125" customWidth="1"/>
    <col min="2" max="2" width="28.42578125" customWidth="1"/>
    <col min="3" max="3" width="29.28515625" customWidth="1"/>
    <col min="4" max="4" width="12" bestFit="1" customWidth="1"/>
  </cols>
  <sheetData>
    <row r="1" spans="1:4">
      <c r="A1" s="294" t="s">
        <v>463</v>
      </c>
      <c r="B1" s="294" t="s">
        <v>0</v>
      </c>
      <c r="C1" s="294" t="s">
        <v>26</v>
      </c>
      <c r="D1" s="213" t="s">
        <v>289</v>
      </c>
    </row>
    <row r="2" spans="1:4" hidden="1">
      <c r="A2" s="310" t="s">
        <v>46</v>
      </c>
      <c r="B2" s="311" t="s">
        <v>34</v>
      </c>
      <c r="C2" s="311" t="s">
        <v>47</v>
      </c>
    </row>
    <row r="3" spans="1:4">
      <c r="A3" s="311" t="s">
        <v>131</v>
      </c>
      <c r="B3" s="311" t="s">
        <v>46</v>
      </c>
      <c r="C3" s="311" t="s">
        <v>112</v>
      </c>
    </row>
    <row r="4" spans="1:4">
      <c r="A4" s="311" t="s">
        <v>163</v>
      </c>
      <c r="B4" s="311" t="s">
        <v>46</v>
      </c>
      <c r="C4" s="311" t="s">
        <v>164</v>
      </c>
    </row>
    <row r="5" spans="1:4">
      <c r="A5" s="311" t="s">
        <v>139</v>
      </c>
      <c r="B5" s="311" t="s">
        <v>46</v>
      </c>
      <c r="C5" s="311" t="s">
        <v>140</v>
      </c>
    </row>
    <row r="6" spans="1:4">
      <c r="A6" s="311" t="s">
        <v>159</v>
      </c>
      <c r="B6" s="311" t="s">
        <v>46</v>
      </c>
      <c r="C6" s="311" t="s">
        <v>160</v>
      </c>
    </row>
    <row r="7" spans="1:4">
      <c r="A7" s="311" t="s">
        <v>134</v>
      </c>
      <c r="B7" s="311" t="s">
        <v>46</v>
      </c>
      <c r="C7" s="311" t="s">
        <v>59</v>
      </c>
    </row>
    <row r="8" spans="1:4" hidden="1">
      <c r="A8" s="311" t="s">
        <v>153</v>
      </c>
      <c r="B8" s="311" t="s">
        <v>46</v>
      </c>
      <c r="C8" s="311" t="s">
        <v>94</v>
      </c>
    </row>
    <row r="9" spans="1:4" hidden="1">
      <c r="A9" s="311" t="s">
        <v>136</v>
      </c>
      <c r="B9" s="311" t="s">
        <v>163</v>
      </c>
      <c r="C9" s="311" t="s">
        <v>85</v>
      </c>
    </row>
    <row r="10" spans="1:4" hidden="1">
      <c r="A10" s="311" t="s">
        <v>141</v>
      </c>
      <c r="B10" s="311" t="s">
        <v>163</v>
      </c>
      <c r="C10" s="311" t="s">
        <v>59</v>
      </c>
    </row>
    <row r="11" spans="1:4" hidden="1">
      <c r="A11" s="311" t="s">
        <v>170</v>
      </c>
      <c r="B11" s="311" t="s">
        <v>163</v>
      </c>
      <c r="C11" s="311" t="s">
        <v>85</v>
      </c>
    </row>
    <row r="12" spans="1:4" hidden="1">
      <c r="A12" s="311" t="s">
        <v>146</v>
      </c>
      <c r="B12" s="311" t="s">
        <v>163</v>
      </c>
      <c r="C12" s="311" t="s">
        <v>114</v>
      </c>
    </row>
    <row r="13" spans="1:4" hidden="1">
      <c r="A13" s="311" t="s">
        <v>149</v>
      </c>
      <c r="B13" s="311" t="s">
        <v>139</v>
      </c>
      <c r="C13" s="311" t="s">
        <v>59</v>
      </c>
    </row>
    <row r="14" spans="1:4">
      <c r="A14" s="311" t="s">
        <v>151</v>
      </c>
      <c r="B14" s="311" t="s">
        <v>139</v>
      </c>
      <c r="C14" s="311" t="s">
        <v>59</v>
      </c>
    </row>
    <row r="15" spans="1:4" hidden="1">
      <c r="A15" s="311" t="s">
        <v>144</v>
      </c>
      <c r="B15" s="311" t="s">
        <v>139</v>
      </c>
      <c r="C15" s="311" t="s">
        <v>59</v>
      </c>
    </row>
    <row r="16" spans="1:4" hidden="1">
      <c r="A16" s="311" t="s">
        <v>155</v>
      </c>
      <c r="B16" s="311" t="s">
        <v>139</v>
      </c>
      <c r="C16" s="311" t="s">
        <v>59</v>
      </c>
    </row>
    <row r="17" spans="1:6" hidden="1">
      <c r="A17" s="311" t="s">
        <v>157</v>
      </c>
      <c r="B17" s="311" t="s">
        <v>139</v>
      </c>
      <c r="C17" s="311" t="s">
        <v>94</v>
      </c>
    </row>
    <row r="18" spans="1:6" hidden="1">
      <c r="A18" s="311" t="s">
        <v>165</v>
      </c>
      <c r="B18" s="311" t="s">
        <v>131</v>
      </c>
      <c r="C18" s="311" t="s">
        <v>59</v>
      </c>
    </row>
    <row r="19" spans="1:6" hidden="1">
      <c r="A19" s="311" t="s">
        <v>168</v>
      </c>
      <c r="B19" s="311" t="s">
        <v>131</v>
      </c>
      <c r="C19" s="311" t="s">
        <v>59</v>
      </c>
    </row>
    <row r="24" spans="1:6">
      <c r="F24" t="s">
        <v>745</v>
      </c>
    </row>
  </sheetData>
  <autoFilter ref="A1:D19" xr:uid="{E9A028D5-D5BB-4A3E-80A2-8D20277A9D27}">
    <filterColumn colId="1">
      <filters>
        <filter val="Jenny Wai Li"/>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863C-28E8-456F-AB4C-8EDF88387443}">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47FA7A4C8E5E49A98E460E1FD98EA3" ma:contentTypeVersion="15" ma:contentTypeDescription="Create a new document." ma:contentTypeScope="" ma:versionID="d3ede1962a15f9c316ba4232a1838be2">
  <xsd:schema xmlns:xsd="http://www.w3.org/2001/XMLSchema" xmlns:xs="http://www.w3.org/2001/XMLSchema" xmlns:p="http://schemas.microsoft.com/office/2006/metadata/properties" xmlns:ns2="bf3e91fb-be29-4af7-97bf-ee90372843d5" xmlns:ns3="3ffdf28c-7479-495e-84ce-1df32b4778f2" targetNamespace="http://schemas.microsoft.com/office/2006/metadata/properties" ma:root="true" ma:fieldsID="138e3c9caa2e805a72be9da4e71237f0" ns2:_="" ns3:_="">
    <xsd:import namespace="bf3e91fb-be29-4af7-97bf-ee90372843d5"/>
    <xsd:import namespace="3ffdf28c-7479-495e-84ce-1df32b4778f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e91fb-be29-4af7-97bf-ee90372843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date" ma:index="21" nillable="true" ma:displayName="date" ma:format="DateOnly" ma:internalName="date">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fdf28c-7479-495e-84ce-1df32b4778f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bf3e91fb-be29-4af7-97bf-ee90372843d5" xsi:nil="true"/>
  </documentManagement>
</p:properties>
</file>

<file path=customXml/itemProps1.xml><?xml version="1.0" encoding="utf-8"?>
<ds:datastoreItem xmlns:ds="http://schemas.openxmlformats.org/officeDocument/2006/customXml" ds:itemID="{5D35EDC9-B823-44CD-8875-BFB55D6A81AF}"/>
</file>

<file path=customXml/itemProps2.xml><?xml version="1.0" encoding="utf-8"?>
<ds:datastoreItem xmlns:ds="http://schemas.openxmlformats.org/officeDocument/2006/customXml" ds:itemID="{C6980856-D009-420B-A488-E112326A8B1C}"/>
</file>

<file path=customXml/itemProps3.xml><?xml version="1.0" encoding="utf-8"?>
<ds:datastoreItem xmlns:ds="http://schemas.openxmlformats.org/officeDocument/2006/customXml" ds:itemID="{5F02C3AC-268B-4DCF-9DE7-4590DB8962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2025-12-07T18:12:47Z</dcterms:created>
  <dcterms:modified xsi:type="dcterms:W3CDTF">2026-02-28T03:03:27Z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0x0101009647FA7A4C8E5E49A98E460E1FD98EA3</vt:lpwstr>
  </property>
</Properties>
</file>