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namedSheetViews/namedSheetView2.xml" ContentType="application/vnd.ms-excel.namedsheetviews+xml"/>
  <Override PartName="/xl/comments3.xml" ContentType="application/vnd.openxmlformats-officedocument.spreadsheetml.comments+xml"/>
  <Override PartName="/xl/threadedComments/threadedComment3.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mc:AlternateContent xmlns:mc="http://schemas.openxmlformats.org/markup-compatibility/2006">
    <mc:Choice Requires="x15">
      <x15ac:absPath xmlns:x15ac="http://schemas.microsoft.com/office/spreadsheetml/2010/11/ac" url="https://on24.sharepoint.com/Engineering/Agile/Shared Documents/Admin/ON24 Org list/"/>
    </mc:Choice>
  </mc:AlternateContent>
  <xr:revisionPtr revIDLastSave="0" documentId="8_{EB0D04DF-08B1-4EE0-BD16-66A870B3E2E6}" xr6:coauthVersionLast="47" xr6:coauthVersionMax="47" xr10:uidLastSave="{00000000-0000-0000-0000-000000000000}"/>
  <bookViews>
    <workbookView xWindow="28820" yWindow="-3100" windowWidth="38400" windowHeight="20100" firstSheet="3" activeTab="3" xr2:uid="{00000000-000D-0000-FFFF-FFFF00000000}"/>
  </bookViews>
  <sheets>
    <sheet name="Product-Design" sheetId="4" r:id="rId1"/>
    <sheet name="Full QA Org" sheetId="1" r:id="rId2"/>
    <sheet name="Full Dev Org" sheetId="2" r:id="rId3"/>
    <sheet name="TPM" sheetId="5" r:id="rId4"/>
    <sheet name="Dashboard" sheetId="3" r:id="rId5"/>
    <sheet name="Total count" sheetId="6" r:id="rId6"/>
    <sheet name="SCRUM Team Count" sheetId="8" r:id="rId7"/>
    <sheet name="Deactivated-QA &amp; Dev" sheetId="7" r:id="rId8"/>
    <sheet name="Sheet1" sheetId="10" r:id="rId9"/>
    <sheet name="Pivot table" sheetId="9" state="hidden" r:id="rId10"/>
  </sheets>
  <definedNames>
    <definedName name="_xlnm._FilterDatabase" localSheetId="1" hidden="1">'Full QA Org'!$A$1:$K$100</definedName>
    <definedName name="_xlnm._FilterDatabase" localSheetId="2" hidden="1">'Full Dev Org'!$A$1:$M$80</definedName>
    <definedName name="Slicer_Employment">#N/A</definedName>
    <definedName name="Slicer_Team">#N/A</definedName>
  </definedNames>
  <calcPr calcId="191028"/>
  <pivotCaches>
    <pivotCache cacheId="2360" r:id="rId11"/>
    <pivotCache cacheId="2361"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2" i="8" l="1"/>
  <c r="E32" i="8"/>
  <c r="F32" i="8"/>
  <c r="G32" i="8"/>
  <c r="D32" i="8"/>
  <c r="N34" i="10"/>
  <c r="N28" i="10"/>
  <c r="O28" i="10" s="1"/>
  <c r="K25" i="10"/>
  <c r="J19" i="10"/>
  <c r="G9" i="8"/>
  <c r="G11" i="8"/>
  <c r="E64" i="8"/>
  <c r="H67" i="8"/>
  <c r="I67" i="8" s="1"/>
  <c r="H73" i="8"/>
  <c r="M5" i="10" l="1"/>
  <c r="M4" i="10"/>
  <c r="M3" i="10"/>
  <c r="M2" i="10"/>
  <c r="AA38" i="8"/>
  <c r="AA39" i="8"/>
  <c r="AA40" i="8"/>
  <c r="L15" i="8"/>
  <c r="E15" i="8" s="1"/>
  <c r="K17" i="8"/>
  <c r="K15" i="8"/>
  <c r="D15" i="8" s="1"/>
  <c r="K16" i="8"/>
  <c r="D16" i="8" s="1"/>
  <c r="D9" i="8"/>
  <c r="I27" i="8"/>
  <c r="H27" i="8"/>
  <c r="I32" i="8"/>
  <c r="G10" i="8"/>
  <c r="E10" i="8"/>
  <c r="D10" i="8"/>
  <c r="I9" i="8"/>
  <c r="E11" i="8"/>
  <c r="I11" i="8" s="1"/>
  <c r="D11" i="8"/>
  <c r="M16" i="8"/>
  <c r="F16" i="8" s="1"/>
  <c r="M7" i="8"/>
  <c r="F7" i="8" s="1"/>
  <c r="M8" i="8"/>
  <c r="M10" i="8"/>
  <c r="F10" i="8" s="1"/>
  <c r="M11" i="8"/>
  <c r="M9" i="8"/>
  <c r="F9" i="8" s="1"/>
  <c r="M15" i="8"/>
  <c r="F15" i="8" s="1"/>
  <c r="F11" i="8"/>
  <c r="D17" i="8"/>
  <c r="G15" i="8"/>
  <c r="E17" i="8"/>
  <c r="K13" i="8"/>
  <c r="G17" i="8"/>
  <c r="F17" i="8"/>
  <c r="E14" i="8"/>
  <c r="K14" i="8"/>
  <c r="D14" i="8" s="1"/>
  <c r="N14" i="8"/>
  <c r="G14" i="8" s="1"/>
  <c r="M14" i="8"/>
  <c r="F14" i="8" s="1"/>
  <c r="E12" i="8"/>
  <c r="D12" i="8"/>
  <c r="G12" i="8"/>
  <c r="I12" i="8" s="1"/>
  <c r="M12" i="8"/>
  <c r="F12" i="8" s="1"/>
  <c r="H12" i="8" s="1"/>
  <c r="D13" i="8"/>
  <c r="E13" i="8"/>
  <c r="G13" i="8"/>
  <c r="M13" i="8"/>
  <c r="F13" i="8" s="1"/>
  <c r="E8" i="8"/>
  <c r="K8" i="8"/>
  <c r="D8" i="8" s="1"/>
  <c r="N8" i="8"/>
  <c r="G8" i="8" s="1"/>
  <c r="N16" i="8"/>
  <c r="G16" i="8" s="1"/>
  <c r="F8" i="8"/>
  <c r="E16" i="8"/>
  <c r="N7" i="8"/>
  <c r="G7" i="8" s="1"/>
  <c r="K7" i="8"/>
  <c r="L11" i="6"/>
  <c r="H10" i="8" l="1"/>
  <c r="I10" i="8"/>
  <c r="G19" i="8"/>
  <c r="D19" i="8"/>
  <c r="F19" i="8"/>
  <c r="E19" i="8"/>
  <c r="I15" i="8"/>
  <c r="H14" i="8"/>
  <c r="H7" i="8"/>
  <c r="H8" i="8"/>
  <c r="I8" i="8"/>
  <c r="H9" i="8"/>
  <c r="H15" i="8"/>
  <c r="H11" i="8"/>
  <c r="I14" i="8"/>
  <c r="I7" i="8"/>
  <c r="I13" i="8"/>
  <c r="H13" i="8"/>
  <c r="H17" i="8"/>
  <c r="I17" i="8"/>
  <c r="I16" i="8"/>
  <c r="H16" i="8"/>
  <c r="K82" i="2"/>
  <c r="J100" i="1"/>
  <c r="I19" i="8" l="1"/>
  <c r="H19"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tc={374283BC-0859-2643-908B-9E54BE035742}</author>
    <author>tc={C902FD49-B230-FE4E-9A6C-427C4D884FFA}</author>
  </authors>
  <commentList>
    <comment ref="B97" authorId="0" shapeId="0" xr:uid="{374283BC-0859-2643-908B-9E54BE035742}">
      <text>
        <t>[Threaded comment]
Your version of Excel allows you to read this threaded comment; however, any edits to it will get removed if the file is opened in a newer version of Excel. Learn more: https://go.microsoft.com/fwlink/?linkid=870924
Comment:
    @Jagjit Singh @Kashan Babar jyothi should be full time. not contractor
Reply:
    never mind.. wrong jyothi..</t>
      </text>
    </comment>
    <comment ref="E103" authorId="1" shapeId="0" xr:uid="{C902FD49-B230-FE4E-9A6C-427C4D884FFA}">
      <text>
        <t>[Threaded comment]
Your version of Excel allows you to read this threaded comment; however, any edits to it will get removed if the file is opened in a newer version of Excel. Learn more: https://go.microsoft.com/fwlink/?linkid=870924
Comment:
    @Kashan Babar @Jagjit Singh this should be 20, same on the dashboard
Reply:
    nevermind.. I understand oleg is not counted here.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tc={C23B908F-9175-4E54-A3AD-68403FCC385B}</author>
    <author>tc={FE92824E-8E6E-BD4F-8A4C-4E4714BE3DDF}</author>
    <author>tc={CF5B7BD2-0E58-AC4F-9788-7D01C1425A3A}</author>
  </authors>
  <commentList>
    <comment ref="F51" authorId="0" shapeId="0" xr:uid="{C23B908F-9175-4E54-A3AD-68403FCC385B}">
      <text>
        <t>[Threaded comment]
Your version of Excel allows you to read this threaded comment; however, any edits to it will get removed if the file is opened in a newer version of Excel. Learn more: https://go.microsoft.com/fwlink/?linkid=870924
Comment:
    @Kashan Babar  changed the 3 guys from tools to engg support</t>
      </text>
    </comment>
    <comment ref="D78" authorId="1" shapeId="0" xr:uid="{FE92824E-8E6E-BD4F-8A4C-4E4714BE3DDF}">
      <text>
        <t>[Threaded comment]
Your version of Excel allows you to read this threaded comment; however, any edits to it will get removed if the file is opened in a newer version of Excel. Learn more: https://go.microsoft.com/fwlink/?linkid=870924
Comment:
    @Jagjit Singh @Kashan Babar this should be contractor
Reply:
    @Jaimini Joshi fixed</t>
      </text>
    </comment>
    <comment ref="J97" authorId="2" shapeId="0" xr:uid="{CF5B7BD2-0E58-AC4F-9788-7D01C1425A3A}">
      <text>
        <t>[Threaded comment]
Your version of Excel allows you to read this threaded comment; however, any edits to it will get removed if the file is opened in a newer version of Excel. Learn more: https://go.microsoft.com/fwlink/?linkid=870924
Comment:
    @Jagjit Singh nouka missing
cc @Kashan Babar
Reply:
    Felipe Ferreira missing vids team
Reply:
    Rajkamal Carpenter missing integrations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tc={90120C7E-44A6-2446-8679-0E3B4BCB5D06}</author>
  </authors>
  <commentList>
    <comment ref="J13" authorId="0" shapeId="0" xr:uid="{90120C7E-44A6-2446-8679-0E3B4BCB5D06}">
      <text>
        <t>[Threaded comment]
Your version of Excel allows you to read this threaded comment; however, any edits to it will get removed if the file is opened in a newer version of Excel. Learn more: https://go.microsoft.com/fwlink/?linkid=870924
Comment:
    should be 37 - ankit jain contractor likely needs to be removed
Reply:
    Per Shishir: This is LMS india team dev, we have used them as per project basis for IOS app screenshare for Vonage.</t>
      </text>
    </comment>
  </commentList>
</comments>
</file>

<file path=xl/sharedStrings.xml><?xml version="1.0" encoding="utf-8"?>
<sst xmlns="http://schemas.openxmlformats.org/spreadsheetml/2006/main" count="1251" uniqueCount="545">
  <si>
    <t>Reports To</t>
  </si>
  <si>
    <t>Name</t>
  </si>
  <si>
    <t>Employment</t>
  </si>
  <si>
    <t>Team</t>
  </si>
  <si>
    <t>FT/Cont Count</t>
  </si>
  <si>
    <t>Total Count</t>
  </si>
  <si>
    <t>FT</t>
  </si>
  <si>
    <t>Contractor</t>
  </si>
  <si>
    <t>Total</t>
  </si>
  <si>
    <t>Steve Sims</t>
  </si>
  <si>
    <t>Kevin Miller</t>
  </si>
  <si>
    <t>Full Time</t>
  </si>
  <si>
    <t>Product Mgmt</t>
  </si>
  <si>
    <t>5 FTs</t>
  </si>
  <si>
    <t>Jared Chappin</t>
  </si>
  <si>
    <t>Salma Bargach</t>
  </si>
  <si>
    <t>Felix Biju</t>
  </si>
  <si>
    <t>Trupti Telang</t>
  </si>
  <si>
    <t>UI/UX</t>
  </si>
  <si>
    <t>Michael Lin</t>
  </si>
  <si>
    <t>1 Ft</t>
  </si>
  <si>
    <t>Janani Venkatachalam</t>
  </si>
  <si>
    <t>UX</t>
  </si>
  <si>
    <t>2 FTs
1 Contractor</t>
  </si>
  <si>
    <t>Sanel Selimovic</t>
  </si>
  <si>
    <t>Siqi Xia</t>
  </si>
  <si>
    <t>Title</t>
  </si>
  <si>
    <t>Teams</t>
  </si>
  <si>
    <t>Why are they important to the team, uniqueness (2-3 sentences)</t>
  </si>
  <si>
    <t>Start Date</t>
  </si>
  <si>
    <t>Contribution (4=Key; 3=Important; 2=Solid; 1=acceptable)</t>
  </si>
  <si>
    <t>Count</t>
  </si>
  <si>
    <t>FT count</t>
  </si>
  <si>
    <t>Contractor count</t>
  </si>
  <si>
    <t>Oleg Massakovskyy</t>
  </si>
  <si>
    <t>C-Hari Prasad</t>
  </si>
  <si>
    <t>Contractor – QA Automation</t>
  </si>
  <si>
    <t>Automation</t>
  </si>
  <si>
    <t>Performs daily QA automation for the Elite Studio project, maintaining and fixing code to ensure reliable test coverage.</t>
  </si>
  <si>
    <t xml:space="preserve">3 Fts
11 Contractors
</t>
  </si>
  <si>
    <t>Analytics</t>
  </si>
  <si>
    <t>Keep all names. For anyone who left the QA team, set Column D to “Deactivated.</t>
  </si>
  <si>
    <t>Rumana Ilyas</t>
  </si>
  <si>
    <t>Director, QA</t>
  </si>
  <si>
    <t>Dir</t>
  </si>
  <si>
    <t>Integrations</t>
  </si>
  <si>
    <t>Jenny Wai Li</t>
  </si>
  <si>
    <t>Senior Director, QA</t>
  </si>
  <si>
    <t>Elite Admin</t>
  </si>
  <si>
    <t>Shefali Singh</t>
  </si>
  <si>
    <t>Ehub</t>
  </si>
  <si>
    <t>C-Divya Kag</t>
  </si>
  <si>
    <t>Handles day-to-day QA automation for the  Analytics project, maintaining and troubleshooting automation code to ensure dependable test coverage.</t>
  </si>
  <si>
    <t>Go Live</t>
  </si>
  <si>
    <t>Ashish Oza</t>
  </si>
  <si>
    <t>Contractor – Director, QA</t>
  </si>
  <si>
    <t>Leads the contractors QA teams across projects, ensuring consistent quality and timely delivery. Establishes testing standards, aligns resources to priorities, and mitigates release risk to maintain operational stability.</t>
  </si>
  <si>
    <t>Console</t>
  </si>
  <si>
    <t>C-Nikhil Bornare</t>
  </si>
  <si>
    <t>Contractor – QA Engineer</t>
  </si>
  <si>
    <t>Executes daily QA automation for the Forums project, maintaining and fixing code to ensure reliable test coverage.</t>
  </si>
  <si>
    <t>VC</t>
  </si>
  <si>
    <t>C-Mohit Talera</t>
  </si>
  <si>
    <t>Leads QA automation for the Console project, designing and maintaining automated tests to ensure stable releases and good coverage.</t>
  </si>
  <si>
    <t>Forums</t>
  </si>
  <si>
    <t>Manak Choyal</t>
  </si>
  <si>
    <t>Contractor – Lead QA Automation</t>
  </si>
  <si>
    <t>Leads automation architecture across all projects and defines the team’s technical standards. Builds the core frameworks himself when needed, and most of the team’s automation achievements are driven by his direct contributions, including R&amp;D and POC validation.</t>
  </si>
  <si>
    <t>ES</t>
  </si>
  <si>
    <t>C-Chetan Kushwah</t>
  </si>
  <si>
    <t>Leads QA automation for the GoLive project, ensuring stable releases and solid coverage.</t>
  </si>
  <si>
    <t>Vids/Vibbio</t>
  </si>
  <si>
    <t>Sumeet Patidar</t>
  </si>
  <si>
    <t>Leads QA automation and contributes to R&amp;D and POC initiatives. Owns key automation work for ERR and VC projects and serves as backup to the Automation Architect, ensuring continuity in technical leadership and delivery.</t>
  </si>
  <si>
    <t xml:space="preserve">08/06/18
</t>
  </si>
  <si>
    <t>Vaishali Jaiswal</t>
  </si>
  <si>
    <t>Leads QA automation for the Analytics, Segmentation projects, ensuring stable releases and solid coverage.</t>
  </si>
  <si>
    <t>Dir's</t>
  </si>
  <si>
    <t>C-Srijan Parihar</t>
  </si>
  <si>
    <t>Contractor – QA</t>
  </si>
  <si>
    <t>Executes daily QA automation for the Orion project, maintaining and fixing code to ensure reliable test coverage.</t>
  </si>
  <si>
    <t>AI</t>
  </si>
  <si>
    <t>C-Kumar Saurabh</t>
  </si>
  <si>
    <t>Leads test automation for the VIDs/Vibbio projects, contributing to stable and predictable releases.</t>
  </si>
  <si>
    <t>C-Abhishek Tanwar</t>
  </si>
  <si>
    <t>Contractor (QA)</t>
  </si>
  <si>
    <t>P10Console</t>
  </si>
  <si>
    <t>He is reliable, completes work steadily, and supports the team effectively.</t>
  </si>
  <si>
    <t xml:space="preserve">4 Fts
15 Contractors
</t>
  </si>
  <si>
    <t>C-Surbhi Porwal</t>
  </si>
  <si>
    <t>QA Engineer (InfoHorizon)</t>
  </si>
  <si>
    <t>P10-Console Forums</t>
  </si>
  <si>
    <t>knowlegeable, efficient, team contributor -tests well , points key issues, analytical qualities</t>
  </si>
  <si>
    <t>Prakash Mandwal</t>
  </si>
  <si>
    <t>Contractor – Sr. QA Engineer</t>
  </si>
  <si>
    <t>key contributor, excellent knowledge on application, QA lead for Automation priortize all Automation with accountability.</t>
  </si>
  <si>
    <t>C-Gargeya Borgaonkar</t>
  </si>
  <si>
    <t>P10Console Forums</t>
  </si>
  <si>
    <t xml:space="preserve">He is newbie improved a lot comparing to earlier ,learning and adpting quickly, meets expectation
</t>
  </si>
  <si>
    <t>Manjeet Singh</t>
  </si>
  <si>
    <t>P10Console/Forums/Vids-Vibbio</t>
  </si>
  <si>
    <t xml:space="preserve">Has deep knowledge on all P10projects mitigates and plans well team efficency &amp; good communcation and show total accountability, Manges the India team </t>
  </si>
  <si>
    <t>Nov'10</t>
  </si>
  <si>
    <t>Rahul Yadav</t>
  </si>
  <si>
    <t>Major contributor for forum testing, deep knowlwedge on Platform, Mitagetes and works closesly with the entire team</t>
  </si>
  <si>
    <t>Priyanka Jain</t>
  </si>
  <si>
    <t>Key contributor, understanding and tests very well ,works close with the P10 resources on day to day task.</t>
  </si>
  <si>
    <t>Vimala Gandham</t>
  </si>
  <si>
    <t>Senior Lead QA Engineer</t>
  </si>
  <si>
    <t>C-Tushar Gaurawat</t>
  </si>
  <si>
    <t>knowledgeable and approachable , good communication, works on daily task and contributes towrds automation</t>
  </si>
  <si>
    <t>Alumelu Govindareddy</t>
  </si>
  <si>
    <t>Senior QA Engineer</t>
  </si>
  <si>
    <t>C-Mohini Verma</t>
  </si>
  <si>
    <t>Contractor (QA Engineer)</t>
  </si>
  <si>
    <t>Delivered consistently on diffrent projects, puts a lot of effort in understanding the task at hand and executes.</t>
  </si>
  <si>
    <t>C-Yashdeep Singh</t>
  </si>
  <si>
    <t>ensures in testing with clarity, pro active in following up with cross/team members for queries</t>
  </si>
  <si>
    <t>Abhijeet Joshi</t>
  </si>
  <si>
    <t xml:space="preserve">P10Console Forums-40% Vids-Vibbio-60% </t>
  </si>
  <si>
    <t>Major contributor to P10 projects, quick learner and works well in pressure situations, does deep anlusis of testing effort</t>
  </si>
  <si>
    <t>Nurlan Shukurlu</t>
  </si>
  <si>
    <t>C-Ashwijt Khaire</t>
  </si>
  <si>
    <t>Good in daily tasks, delivery what is needed, meets the work expectation</t>
  </si>
  <si>
    <t>C-Vedika Soni</t>
  </si>
  <si>
    <t xml:space="preserve"> consistently delivers thorough test coverage and identifies critical edge cases before release.</t>
  </si>
  <si>
    <t>C-Sourabh Samediya</t>
  </si>
  <si>
    <t>Major performs well in automation and coordinates effectively with automation and manual team, test with clarity</t>
  </si>
  <si>
    <t>C-Ajay Pal</t>
  </si>
  <si>
    <t>Jyothi Mittapalli</t>
  </si>
  <si>
    <t xml:space="preserve">P10Console Forums-60% Vids-Vibbio-40% </t>
  </si>
  <si>
    <t>Shailja Singh</t>
  </si>
  <si>
    <t>VC 10% &amp; Ehub 90%</t>
  </si>
  <si>
    <t xml:space="preserve">3 FTs
14 Contractors
</t>
  </si>
  <si>
    <t>Mohit Sengar</t>
  </si>
  <si>
    <t xml:space="preserve">Mohit leads QA for Ehub, Target, and Nurture Page, ensuring high-quality, stable releases that directly support customer experience and business continuity. He drives cross-functional alignment and upholds strong quality standards across critical initiatives. He currently represents a single point of failure, as no fully trained backup is in place to assume his responsibilities if needed.
</t>
  </si>
  <si>
    <t>C-Anshul Sahu</t>
  </si>
  <si>
    <t>goLive</t>
  </si>
  <si>
    <t>Anshul validates GoLive features from the end-user perspective, ensuring a seamless and intuitive experience. By proactively identifying usability and workflow gaps, he consistently enhances overall product quality.</t>
  </si>
  <si>
    <t>Yan Sarnovskiy</t>
  </si>
  <si>
    <t>Lead QA Engineer</t>
  </si>
  <si>
    <t>C-Apurva Choudary</t>
  </si>
  <si>
    <t>GoLive</t>
  </si>
  <si>
    <t>Apurva works closely with Syamala, serving as the final quality gatekeeper to ensure readiness and accountability before each launch. Through disciplined execution and sound judgment, she builds strong stakeholder confidence and drives reliable release outcomes.</t>
  </si>
  <si>
    <t>C-Shubhi Badole</t>
  </si>
  <si>
    <t>Shubhi is essential to the QA team through her expertise in test automation and framework optimization. She improves regression efficiency and reduces manual effort, enabling faster and more reliable release</t>
  </si>
  <si>
    <t>C-Anurag Padiyar</t>
  </si>
  <si>
    <t>VC 20% &amp; GoLive 70%</t>
  </si>
  <si>
    <t>Anurag is a quick learner. Although he jus join us for a few months, but he start to pick up both VC &amp; GoLive projects.</t>
  </si>
  <si>
    <t>Keshav Jaiswal</t>
  </si>
  <si>
    <t>Keshav plays a key role on the Ehub team by ensuring thorough test coverage across complex features. His strong attention to detail and ability to identify edge cases help prevent production defects. </t>
  </si>
  <si>
    <t>C-Gourav Tomar</t>
  </si>
  <si>
    <t>Gourav consistently delivers thorough test coverage and identifies critical edge cases before release. </t>
  </si>
  <si>
    <t>Syamala Bantupalli</t>
  </si>
  <si>
    <t>Syamala leads the GoLive QA team, providing clear quality direction and ensuring testing aligns with business priorities. She drives risk-based decisions that safeguard release stability and reinforce stakeholder trust.</t>
  </si>
  <si>
    <t>Ajay Kumar Gupta</t>
  </si>
  <si>
    <t>Ajay is another key player in Ehub team. He executes test plans with precision and strong ownership. Reduces defect leakage by proactively validating complex workflows.</t>
  </si>
  <si>
    <t>Yadav Singh Parmar</t>
  </si>
  <si>
    <t xml:space="preserve">Yadav collaborates closely with Mohit to support QA efforts for Ehub, Target, and Nurture Page. He plays a key role in advancing automation processes, driving higher efficiency and overall QA quality across projects.
</t>
  </si>
  <si>
    <t>Sandeep Chaubey</t>
  </si>
  <si>
    <t>Contractor – QA Lead</t>
  </si>
  <si>
    <t>VC 90% &amp; goLive 10%</t>
  </si>
  <si>
    <t>Sandeep leads the VC and GoLive teams, driving automation optimization to improve delivery speed, scalability, and regression reliability. His leadership ensures efficient, high-quality releases that support business agility and customer commitments. He currently represents a potential single point of failure, as there is no fully trained backup to assume full ownership of these responsibilities if he is unavailable.</t>
  </si>
  <si>
    <t>Nikhila Aradhyula</t>
  </si>
  <si>
    <t>QA Engineer</t>
  </si>
  <si>
    <t>C-Subhani Singh</t>
  </si>
  <si>
    <t>VC 40% &amp; Ehub 60%</t>
  </si>
  <si>
    <t>Subhani works closely with Sandeep and Mohit across both VC and Ehub initiatives, serving as a highly trusted and dependable team member. She is invaluable to both projects through her strong expertise in test automation and framework optimization. Her technical depth and reliability significantly enhance efficiency and release quality.</t>
  </si>
  <si>
    <t>Nikhil Bhatt</t>
  </si>
  <si>
    <t>Nikhil contributes across both VC and Ehub projects, demonstrating strong flexibility and adaptability. He quickly adjusts to evolving business priorities and effectively supports multiple initiatives in parallel. </t>
  </si>
  <si>
    <t>C-Megha Upadhayay</t>
  </si>
  <si>
    <t>Megha is able to quickly isolates root causes and collaborates effectively to resolve defects. Improves release quality through analytical thinking and structured validation. </t>
  </si>
  <si>
    <t>c-Neeti Sharma</t>
  </si>
  <si>
    <t>Presenter</t>
  </si>
  <si>
    <t>Oversees end-to-end ES automation, with a strong understanding of ES product  functional workflows and deep expertise across key operational areas.</t>
  </si>
  <si>
    <t>9 FTs
39 Contractors</t>
  </si>
  <si>
    <t>Pushpendra Tiwari</t>
  </si>
  <si>
    <t>Eng Tools</t>
  </si>
  <si>
    <t>A key team asset who manages tools reporting, possesses strong awareness of cross-product dependencies, and effectively leads the India team.</t>
  </si>
  <si>
    <t>Chitralekha Dwivedi</t>
  </si>
  <si>
    <t>A highly valuable team member with extensive expertise in APIs and third-party integrations, successfully leading these areas while managing the India team.</t>
  </si>
  <si>
    <t>C-Akshay Mandloi</t>
  </si>
  <si>
    <t>A highly knowledgeable and efficient professional who consistently delivers rigorous testing, proactively identifies critical and high-impact issues, and applies strong analytical acumen to drive quality and performance excellence.</t>
  </si>
  <si>
    <t>C-Prerna Sharma</t>
  </si>
  <si>
    <t>A dependable and high-impact contributor who drives quality through meticulous testing, surfaces critical risks early, and leverages strong analytical insight to strengthen team outcomes and decision-making.</t>
  </si>
  <si>
    <t>Gurmeet Singh</t>
  </si>
  <si>
    <t>A major team asset who leads Analytics and Segmentation initiatives across all ON24 applications, ensuring high-quality analytics outputs while effectively managing the India team, with deep expertise in the analytics module that makes him a key driver of the team’s success.</t>
  </si>
  <si>
    <t>c-Akshay Patidar</t>
  </si>
  <si>
    <t>Great experienced and  knowledgeable contributor for the Admin application, adept at rigorous testing, identifying critical issues, and leveraging strong analytical skills to ensure top-tier quality and reliability.</t>
  </si>
  <si>
    <t>c-Mahima Malviya</t>
  </si>
  <si>
    <t>Analytics -Segmentation</t>
  </si>
  <si>
    <t>Consistently reliable in daily tasks, delivers required outcomes efficiently, and meets or exceeds work expectations.</t>
  </si>
  <si>
    <t>C-Rishabh Joshi</t>
  </si>
  <si>
    <t>An insightful and proactive team member who enhances the Admin application through precise testing, early identification of critical issues, and thoughtful analysis that strengthens overall team effectiveness.</t>
  </si>
  <si>
    <t>c-Bhushan Mahire</t>
  </si>
  <si>
    <t>A highly dependable professional who consistently manages daily responsibilities with efficiency, delivers accurate and timely results, anticipates needs, and consistently meets organizational expectations..</t>
  </si>
  <si>
    <t>Helly Tanna</t>
  </si>
  <si>
    <t>Elite Admin/AI</t>
  </si>
  <si>
    <t>Olga Grama</t>
  </si>
  <si>
    <t>c-Ravi Singh</t>
  </si>
  <si>
    <t>A highly dependable and proactive professional who consistently manages daily responsibilities with efficiency, delivers accurate and timely results, anticipates potential issues, contributes positively to team goals</t>
  </si>
  <si>
    <t>C-Kanika Dixit</t>
  </si>
  <si>
    <t xml:space="preserve"> A major asset, with deep technical expertise in APIs, Segmentations, Integrations, and other ON24 products, possessing the cross-product knowledge essential for mastering the Segmentation module.  she is committed to quality delivery and proactively asks questions until full clarity is achieved</t>
  </si>
  <si>
    <t>Rohit Jha</t>
  </si>
  <si>
    <t xml:space="preserve">A star team member with comprehensive knowledge of all Admin products, serving as the go-to expert for any questions on Admin functionality. In addition to managing the India team, ensures smooth operations, provides guidance to peers, and drives high-quality, reliable outcomes. </t>
  </si>
  <si>
    <t>C-Bhagwan Soni</t>
  </si>
  <si>
    <t>A capable and reliable team member, he approaches work methodically, uncovers key issues through precise testing of complex admin areas</t>
  </si>
  <si>
    <t>Paul Zarzecki</t>
  </si>
  <si>
    <t>QA Manager</t>
  </si>
  <si>
    <t>Elite Studio</t>
  </si>
  <si>
    <t>Lilia Tulei</t>
  </si>
  <si>
    <t>Fong Xiong</t>
  </si>
  <si>
    <t>Elite Studio/Forums</t>
  </si>
  <si>
    <t>C-Tarun Sakalley</t>
  </si>
  <si>
    <t>QA Contractor</t>
  </si>
  <si>
    <t>Dependable in routine responsibilities, ensures timely and accurate delivery of work, and consistently fulfills expected performance standards.</t>
  </si>
  <si>
    <t>C-Shruti Joshi</t>
  </si>
  <si>
    <t>A highly valued and versatile contributor with extensive API expertise, known for precision, insight, and strong problem-solving skills, who proactively identifies critical issues, maintains data integrity, and optimizes integrations for maximum efficiency.</t>
  </si>
  <si>
    <t>C-Shobhit Shrivas</t>
  </si>
  <si>
    <t>A reliable and hardworking team member who handles day-to-day responsibilities efficiently, delivers work accurately and on time, takes initiative when challenges arise,</t>
  </si>
  <si>
    <t>C-Rishi Shrivastava</t>
  </si>
  <si>
    <t>A knowledgeable and efficient team contributor, consistently hardworking, who leverages deep understanding of the complex Admin tool to perform thorough testing, identify critical issues, and apply strong analytical skills, driving reliable and high-quality outcomes.</t>
  </si>
  <si>
    <t>Pavel Preyomyshev</t>
  </si>
  <si>
    <t>Marina Belova</t>
  </si>
  <si>
    <t>Elite Studio/Eng Tools</t>
  </si>
  <si>
    <t>C-Gourav Shukla</t>
  </si>
  <si>
    <t>Analytics-Segmentation</t>
  </si>
  <si>
    <t>Consistently reliable in handling daily tasks, delivers required outcomes effectively, and meets or exceeds work expectations.</t>
  </si>
  <si>
    <t>C-Sumit Verma</t>
  </si>
  <si>
    <t>Elite studio Forums</t>
  </si>
  <si>
    <t>A valuable team member with deep expertise in the Vonage testing domain, who works independently with minimal supervision, demonstrating consistent hard work, dedication, and sincerity.</t>
  </si>
  <si>
    <t>C-Roma Jain</t>
  </si>
  <si>
    <t>Great team contributor who conducts thorough testing, identifies critical issues based on the AC, demonstrates strong analytical  and debugging skills, learns quickly, follows processes diligently, and performs effectively under guidance.</t>
  </si>
  <si>
    <t>C-Priya Chouhan</t>
  </si>
  <si>
    <t>Eng Tools /ES Forums</t>
  </si>
  <si>
    <t>C-Pooja Thakur</t>
  </si>
  <si>
    <t>A valuable team member who has gained expertise across multiple areas of the Admin tool, developed a strong understanding of the registration module, comprehends all hidden rules, and proactively identifies any missing acceptance criteria within her areas of expertise.</t>
  </si>
  <si>
    <t>Abel Cruz</t>
  </si>
  <si>
    <t>C-Mayank Khede</t>
  </si>
  <si>
    <t>A highly skilled and indispensable team member who leverages deep expertise in report data, executes thorough testing with efficiency, proactively identifies critical issues, and applies strong analytical insight to drive team success.</t>
  </si>
  <si>
    <t>C-Shreya Raghuwanshi</t>
  </si>
  <si>
    <t xml:space="preserve">A very good  team member with nice knowledge of report logic, underlying tables, and data flows, who conducts rigorous testing, proactively asks insightful questions, identifies critical issues, , consistently driving high-quality outcomes </t>
  </si>
  <si>
    <t>C-Rahul Sharma</t>
  </si>
  <si>
    <t>A proactive and detail-oriented team member, he excels at testing, spotting key issues, and applying his product knowlege really well</t>
  </si>
  <si>
    <t>Preeti Sharma</t>
  </si>
  <si>
    <t>Elite Admin/Elite Admin forums</t>
  </si>
  <si>
    <t>C-Nikhil Sharma</t>
  </si>
  <si>
    <t>He brings a sharp analytical mind to the team, efficiently executing tests and highlighting the most important issues. His knowledge and proactive contributions make him a key driver of quality and team success.</t>
  </si>
  <si>
    <t>C-Kushal Saitwal</t>
  </si>
  <si>
    <t>On the integration side, he possesses strong working knowledge of several third-party integrations and testing, which is crucial for the business. He is an important key member of the team, with deep expertise in third-party integrations.</t>
  </si>
  <si>
    <t>C-Harsh Parasher</t>
  </si>
  <si>
    <t>He is an important key member with end-to-end knowledge of a wide range of ON24 reports, consistently ensuring accuracy and reliability in data delivery. His expertise allows him to identify issues quickly,</t>
  </si>
  <si>
    <t>Ajay Yadav</t>
  </si>
  <si>
    <t>He is an important key member with deep knowledge of the ON24 Admin product, including how it can be integrated with different technologies—both Vonage and non-Vonage solutions. He has a thorough understanding of the rules and best practices required to ensure events are successfully created, configured, and executed</t>
  </si>
  <si>
    <t>C-Shubham Kumawat</t>
  </si>
  <si>
    <t>Consistently performs daily tasks efficiently, delivers what is required, and meets all work expectations.</t>
  </si>
  <si>
    <t>C-Prajjawal Saxena</t>
  </si>
  <si>
    <t>Major team asset -highly technical, thorough with testing, and proactive in his approach. He consistently thinks outside the box and effectively runs and supports AI services. He possesses strong grey-box and white-box testing skills, ensuring robust and reliable solutions.</t>
  </si>
  <si>
    <t>C-Aniruddh Dongariya</t>
  </si>
  <si>
    <t>He is an important key member with deep knowledge of the ON24 Admin product. His dedication and attention to detail have made him an expert in several areas of the admin domain.</t>
  </si>
  <si>
    <t>C-Shubham Chandra</t>
  </si>
  <si>
    <t>He has strong analytical skills, quickly identifying issues and inconsistencies. He has a keen eye for detail and consistently catches issues in the product under test.</t>
  </si>
  <si>
    <t>Sanjeev Gupta</t>
  </si>
  <si>
    <t>He leads the Admin tool with deep product knowledge, efficiently managing tasks while ensuring high-quality outcomes. By mentoring the team, streamlining processes, and anticipating potential issues,</t>
  </si>
  <si>
    <t>C-Divya Sharma</t>
  </si>
  <si>
    <t xml:space="preserve"> Efficiently  delivers what is required. She is  responsible for managing and maintaining admin automation, ensuring smooth and reliable operations.</t>
  </si>
  <si>
    <t>Jyothi Dasari</t>
  </si>
  <si>
    <t>QA Lead</t>
  </si>
  <si>
    <t>Another star member,  leads ES and ESRI with deep technical and functional knowledge. He has a thorough understanding of the product’s history and effectively manages the India team to ensure smooth operations and timely delivery.</t>
  </si>
  <si>
    <t>C-Rajkamal Karpenter</t>
  </si>
  <si>
    <t>Although new to the team, he quickly picked up work with confidence and a strong learning mindset. He has already started taking ownership of several test areas, demonstrating initiative and responsibility.</t>
  </si>
  <si>
    <t>C-Ashish Kaslikar</t>
  </si>
  <si>
    <t>He has a strong automation background and excels in black-box and grey-box testing, which enables him to identify critical issues effectively. He is a valuable and dependable member of the team.</t>
  </si>
  <si>
    <t>Date</t>
  </si>
  <si>
    <t>Update by</t>
  </si>
  <si>
    <t>Notes</t>
  </si>
  <si>
    <t>Contractors</t>
  </si>
  <si>
    <t>Total QA</t>
  </si>
  <si>
    <t>Dec 7th</t>
  </si>
  <si>
    <t>Kashan Babar</t>
  </si>
  <si>
    <t>Created XL</t>
  </si>
  <si>
    <t>Dec 8th</t>
  </si>
  <si>
    <t>Shefali</t>
  </si>
  <si>
    <t>Added teams</t>
  </si>
  <si>
    <t>Jenny</t>
  </si>
  <si>
    <t>Kashan</t>
  </si>
  <si>
    <t>Removed Oleg from QA count</t>
  </si>
  <si>
    <t>FE/BE</t>
  </si>
  <si>
    <t>Mahesh Kheny</t>
  </si>
  <si>
    <t>Homer Santos</t>
  </si>
  <si>
    <t>yes</t>
  </si>
  <si>
    <t>Salesforce</t>
  </si>
  <si>
    <t>4 FTs</t>
  </si>
  <si>
    <t>James Gomez</t>
  </si>
  <si>
    <t>Raj Kommera</t>
  </si>
  <si>
    <t>Jaimini Joshi</t>
  </si>
  <si>
    <t>Shishir Pokharel</t>
  </si>
  <si>
    <t>Vids/forums</t>
  </si>
  <si>
    <t>6 FTs</t>
  </si>
  <si>
    <t>Angel Palomino Heras</t>
  </si>
  <si>
    <t>AI/Analytics/Integrations</t>
  </si>
  <si>
    <t>Alberto Perez Galiano</t>
  </si>
  <si>
    <t>Nataraja Prabhakara</t>
  </si>
  <si>
    <t>Pratap Kumar</t>
  </si>
  <si>
    <t>Cloud</t>
  </si>
  <si>
    <t>Francisco Neto</t>
  </si>
  <si>
    <t>Tools</t>
  </si>
  <si>
    <t>Venubabu Innamuri</t>
  </si>
  <si>
    <t>BE</t>
  </si>
  <si>
    <t>GL</t>
  </si>
  <si>
    <t>Alejandro Castera</t>
  </si>
  <si>
    <t>BE/FE</t>
  </si>
  <si>
    <t>Vids/ES</t>
  </si>
  <si>
    <t>* Owns client side pexip code and ESRI client side code (single point of failure). For POC projects.</t>
  </si>
  <si>
    <t xml:space="preserve">3 FTs
3 Contractors
</t>
  </si>
  <si>
    <t>Cobin Dopkeen</t>
  </si>
  <si>
    <t>Yes</t>
  </si>
  <si>
    <t>C-Lucas Girard</t>
  </si>
  <si>
    <t>Own sim2live video (single point of failure), video push and pexip components</t>
  </si>
  <si>
    <t>Randall Dryburgh</t>
  </si>
  <si>
    <t>Cheng-Kai Huang</t>
  </si>
  <si>
    <t>c-Alejo Pereyra</t>
  </si>
  <si>
    <t>Smart, but fairly new.
Gaining cross-knowledge to backup other devs.</t>
  </si>
  <si>
    <t>2 FTs
4 contractor</t>
  </si>
  <si>
    <t>Jose Viscasillas</t>
  </si>
  <si>
    <t>FE</t>
  </si>
  <si>
    <t>Dan Homerick</t>
  </si>
  <si>
    <t>C-Tasso Ruas</t>
  </si>
  <si>
    <t>Shows interest in leadership.
Takes ownership of initiatives.
Deep knowledge of archiving systems.</t>
  </si>
  <si>
    <t>c-Jesus Díaz</t>
  </si>
  <si>
    <t>Reliably gets all work done.
Owns chat front end (single point of failure, temporarily)
Always helpful and willing to take on more.</t>
  </si>
  <si>
    <t>Felipe Ferreira</t>
  </si>
  <si>
    <t>Vids/Forums (KMs)</t>
  </si>
  <si>
    <t>Owns Vibbio system (single point of failure until Vibbio tech sunset)
Creative problem solver.</t>
  </si>
  <si>
    <t>Alberto</t>
  </si>
  <si>
    <t>Mario Martinez</t>
  </si>
  <si>
    <t>* Institutional knowledge of the Analytics legacy platform and underlying infrastructure
* Primary owner and escalation point for release support</t>
  </si>
  <si>
    <t>5 Contractors</t>
  </si>
  <si>
    <t>c-Ramesh Balak</t>
  </si>
  <si>
    <t>* High execution velocity driven by effective use of AI-assisted development techniques</t>
  </si>
  <si>
    <t>C-Alejandro Varon</t>
  </si>
  <si>
    <t>* Strong technical depth and application domain expertise
* Designated backup for release support</t>
  </si>
  <si>
    <t>C-Juan Gomez</t>
  </si>
  <si>
    <t>* Valuable technical depth and application domain knowledge
* Rapid comprehension and execution of development tasks through AI-assisted techniques</t>
  </si>
  <si>
    <t>Pedro Hernandez</t>
  </si>
  <si>
    <t>* Deep expertise in the Segmentation application (key contributor and knowledge holder)
* Leads and executes complex development initiatives leveraging AI-assisted methodologies 
* Primary owner and escalation point for Segmentation release support</t>
  </si>
  <si>
    <t>Juan Bernardez Pazo</t>
  </si>
  <si>
    <t>2 FTs
3 contractor</t>
  </si>
  <si>
    <t>C-Gregory Padron</t>
  </si>
  <si>
    <t>* Good technical and application knowledge
* Backup to lead (Mayur) for release support</t>
  </si>
  <si>
    <t>4=Key</t>
  </si>
  <si>
    <t>C-Jonathan Perez</t>
  </si>
  <si>
    <t>* Resource who has knowledge on both Orion and VC. 
* Although limited VC knowledge but handy in case we need a resource to work</t>
  </si>
  <si>
    <t>2=solid</t>
  </si>
  <si>
    <t>Mayur Khadke</t>
  </si>
  <si>
    <t>Jhon Nova</t>
  </si>
  <si>
    <t>* Very good knowledge on Orion application
* So far the only back up resource for the FT (Juan)</t>
  </si>
  <si>
    <t>3=Important</t>
  </si>
  <si>
    <t>C-Camilo Lopez</t>
  </si>
  <si>
    <t>* Strong platform expertise with deep understanding of system architecture and dependencies
* Maintains and supports multiple in-house integrations
* Provides effective cross-team support and collaboration
* Manages SERVICE JIRA workflows efficiently and consistently</t>
  </si>
  <si>
    <t>2 FTs
8 Contractors</t>
  </si>
  <si>
    <t>C-Rajesh Patel</t>
  </si>
  <si>
    <t>C-Carlos Montoya</t>
  </si>
  <si>
    <t>* Leads Python-based AI implementations across projects
* Translates proof-of-concepts into production-ready solutions
* Applies best practices in code quality, scalability, and deployment
* Bridges experimentation and operational delivery effectively</t>
  </si>
  <si>
    <t>Parag Sanghvi</t>
  </si>
  <si>
    <t>AI/Integrations</t>
  </si>
  <si>
    <t>Alejandro Osorio</t>
  </si>
  <si>
    <t xml:space="preserve">* Demonstrates strong work ethic with thorough execution and attention to detail
* Continuously expands technical knowledge and adopts new technologies
* Maintains strong platform expertise and system-level understanding
</t>
  </si>
  <si>
    <t>C-Harsh Panot</t>
  </si>
  <si>
    <t>* Supports the ON24 Salesforce Native Connector
* Single point of failure for Salesforce Native Connector</t>
  </si>
  <si>
    <t>Javier Vargas</t>
  </si>
  <si>
    <t>* Demonstrates strong work ethic with thorough, detail-oriented execution
* Continuously develops technical expertise and adopts new technologies
* Maintains strong platform knowledge and architectural understanding
* Supervises team deliverables and provides structured, actionable feedback
* Owns and oversees ON24 API strategy, implementation, and maintenance</t>
  </si>
  <si>
    <t>C-Oscar Ospina</t>
  </si>
  <si>
    <t>* Strong working knowledge of LinkedIn integrations and Tray platform
* Demonstrates solid frontend development capabilities
* Applies integration expertise to support end-to-end solution delivery
* Possible point of failure for LinkedIn</t>
  </si>
  <si>
    <t>Jairo Diaz</t>
  </si>
  <si>
    <t>* Strong data science expertise with solid analytical and modeling capabilities
* Collaborative team player who actively supports cross-functional efforts
* Contributes innovative ideas and proactively drives new initiatives
* Point of failure for new AI based POCs initiatives</t>
  </si>
  <si>
    <t>Ben Kinard</t>
  </si>
  <si>
    <t>Abdulla Rubaid</t>
  </si>
  <si>
    <t>3 FTs
4 Contractors</t>
  </si>
  <si>
    <t>Praveen Gampala</t>
  </si>
  <si>
    <t>C-Marco Ruiz</t>
  </si>
  <si>
    <t xml:space="preserve">*Supports the Onperm microservices, releases, WL platform along with CI/CD and monitoring.
</t>
  </si>
  <si>
    <t>Lee Lopez</t>
  </si>
  <si>
    <t>*Primary resource for Load Testing</t>
  </si>
  <si>
    <t>Chengyang Liu</t>
  </si>
  <si>
    <t>c-Jean Cristancho</t>
  </si>
  <si>
    <t>*Key resource for GCP platform support
*Only backup for Chengyang</t>
  </si>
  <si>
    <t>C-Gopal Singh</t>
  </si>
  <si>
    <t>*Backup for Load Testing</t>
  </si>
  <si>
    <t>Ammar Khan</t>
  </si>
  <si>
    <t>Engg Tools</t>
  </si>
  <si>
    <t>2 FTs
1 Contractors</t>
  </si>
  <si>
    <t>c-Cesar Roque</t>
  </si>
  <si>
    <t>Engg Support</t>
  </si>
  <si>
    <t>* This team member is essential as he enables reliable 24/7 on-call coverage, ensuring continuity and fast incident response. 
* His deep specialization in streaming allows us to quickly diagnose and resolve high-impact issues. 
* In addition, his strong domain knowledge of the ON24 platform and Jira workflows makes him a key contributor to effective Platform Support operations.</t>
  </si>
  <si>
    <t>Purna Sangem</t>
  </si>
  <si>
    <t>Kamal</t>
  </si>
  <si>
    <t>Rajesh Walter</t>
  </si>
  <si>
    <t>EER</t>
  </si>
  <si>
    <t>3 FTs</t>
  </si>
  <si>
    <t>Mayank Gupta</t>
  </si>
  <si>
    <t>EER/GL</t>
  </si>
  <si>
    <t>Piyush Punjak</t>
  </si>
  <si>
    <t>Console/ES</t>
  </si>
  <si>
    <t>C-Rodrigo Laporte</t>
  </si>
  <si>
    <t>* Rodrigo provide support across multiple frontend features.
* His attention to detail and responsiveness to feedback help improve overall product quality. 
* He is a dependable contributor to sprint commitments.</t>
  </si>
  <si>
    <t>5 FTs
4 Contractors</t>
  </si>
  <si>
    <t>Avi Roig</t>
  </si>
  <si>
    <t>Shabna Shaik</t>
  </si>
  <si>
    <t>C-Jonathan Arcila</t>
  </si>
  <si>
    <t xml:space="preserve">* Jonathan is a key member of our backend team. 
* He contributes to architecture and have deep knowledge of our systems and integrations. 
* His ability to quickly troubleshoot production issues and design scalable solutions makes them a critical technical member of the team.
</t>
  </si>
  <si>
    <t>Himanshu Patel</t>
  </si>
  <si>
    <t>Luke Wage</t>
  </si>
  <si>
    <t>c-Javier Stifano</t>
  </si>
  <si>
    <t xml:space="preserve">* Javier plays a key role in front-end development, translating requirements into effective solutions. 
* His strong cross team collaboration ensures smooth end-to-end feature delivery.
* He often take initiative in improving frontend architecture and performance.
</t>
  </si>
  <si>
    <t>c-Islam Mohammed</t>
  </si>
  <si>
    <t>* Islam consistently deliver high-quality backend features and improvements while maintaining strong code standards. 
* He actively supports release activities
* He contributes significantly to sprint goals and help maintain system stability.</t>
  </si>
  <si>
    <t>Shuang Wu</t>
  </si>
  <si>
    <t>Kaleem Khan</t>
  </si>
  <si>
    <t>7 FTs
6 Contractors</t>
  </si>
  <si>
    <t>Nnouka Stephen</t>
  </si>
  <si>
    <t>ES/Forums</t>
  </si>
  <si>
    <t xml:space="preserve">1. Depth of expertise, ownership, and reliability to critical areas of our platform.
2. Strong command over complex systems and understands them end-to-end, a trusted resource for both strategic decisions and problem resolution. 
3. High level of accountability and commitment. Even across time zones, available when needed and prioritizes team success, reflecting a strong sense of ownership and collaboration.
4. Deep expertise, problem-solving mindset, adaptability, reliability, and team-first attitude makes him critical for the team.
 </t>
  </si>
  <si>
    <t>Ajay Pawar</t>
  </si>
  <si>
    <t>Pritish Kumar Dwibedi</t>
  </si>
  <si>
    <t>Rajesh Kumar</t>
  </si>
  <si>
    <t>Diego Gonzalez</t>
  </si>
  <si>
    <t>1. Consistently demonstrates strong ownership by proactively identifying and resolving issues.
2. Actively monitors team channels and quickly steps in to support blockers or urgent fixes.
3. Contributes positively to team momentum through reliability, responsiveness, and collaboration.
4. Steps up in critical moments and ensures dependable support when the team needs it most. Critical in terms of some of the platform functionalities.</t>
  </si>
  <si>
    <t>Jonathan Gil</t>
  </si>
  <si>
    <t>1. Strong end-to-end understanding of the platform, enabling well-informed decision-making, proactive identification of edge cases, and a confident, structured approach to complex challenges.
2. Serves as a trusted point of contact, providing stability and continuity; consistently ensures critical components are handled with precision and deep expertise.
3. Applies a thorough and disciplined review process that drives clarity, completeness, and high quality before execution—strengthening overall team output and minimizing risk.
4. Recognized SME for ESRI, bringing specialized knowledge and dependable guidance in this critical area. Single point of contact for ESRI.</t>
  </si>
  <si>
    <t>Shwetha Nimmala</t>
  </si>
  <si>
    <t>C-Santiago Mejia</t>
  </si>
  <si>
    <t>1.Delivers assigned tasks with solid technical quality and meets expectations reliably.
2.Contributes effectively and does not shy away from new challenges.
3.Follows established coding standards and contributes to maintaining overall frontend code quality.</t>
  </si>
  <si>
    <t>Jay Sunga</t>
  </si>
  <si>
    <t>Swati Shaw</t>
  </si>
  <si>
    <t>AppGen</t>
  </si>
  <si>
    <t>Amber Mahajan</t>
  </si>
  <si>
    <t>1. Deep knowledge base for the Audience Console with long-standing experience and consistently strong performance; a trusted SME for critical functionalities such as CE.
2. Provides dependable 24x7 development support, often going above and beyond during off-hours to ensure seamless issue resolution.
3. Played a significant role in modernization initiatives and is always available when needed, demonstrating exceptional dedication and ownership.</t>
  </si>
  <si>
    <t>?</t>
  </si>
  <si>
    <t>Juan David Aragon</t>
  </si>
  <si>
    <t>1. Go-to person for all Audience Console issues — highly dependable, accountable, and trusted to drive resolution end-to-end.
2. Consistently delivers high-quality, scalable solutions with strong ownership and execution discipline.
3. Demonstrates deep analytical skills, proactively takes on new challenges, and thoroughly investigates complex issues to ensure long-term fixes.
4. Played a key role in modernization initiatives and leads load testing efforts, while being a reliable and collaborative team player. One of the most critical team member in the company.</t>
  </si>
  <si>
    <t>Chandrakant Bagewadi</t>
  </si>
  <si>
    <t xml:space="preserve">1 FT
</t>
  </si>
  <si>
    <t xml:space="preserve">Created and added Few teams
removed/added = 0
</t>
  </si>
  <si>
    <t xml:space="preserve">Dec8th </t>
  </si>
  <si>
    <t>Issh</t>
  </si>
  <si>
    <t>updated teams</t>
  </si>
  <si>
    <t xml:space="preserve">Bhagyashree </t>
  </si>
  <si>
    <t>Dec 16tg</t>
  </si>
  <si>
    <t>updated Lee Lopez from FT to Cont</t>
  </si>
  <si>
    <t>Feb 18th</t>
  </si>
  <si>
    <t>Shree</t>
  </si>
  <si>
    <t>Highlighted Inactive Dev contractors</t>
  </si>
  <si>
    <t xml:space="preserve">Feb18th </t>
  </si>
  <si>
    <t>Checked all devs in ES/Console/Forums/Vids</t>
  </si>
  <si>
    <t>Checked all dev members for GL and Integrations. Removed 4 deactivated Devs</t>
  </si>
  <si>
    <t>KB/Issh</t>
  </si>
  <si>
    <t>Total Dev FT</t>
  </si>
  <si>
    <t>Total Dev Contractors</t>
  </si>
  <si>
    <t>Total QA FT</t>
  </si>
  <si>
    <t>Total QA Contractors</t>
  </si>
  <si>
    <t>Jagjit Singh</t>
  </si>
  <si>
    <t>TPM</t>
  </si>
  <si>
    <t>Ishwinder Walia</t>
  </si>
  <si>
    <t>C-Bhagyashree More</t>
  </si>
  <si>
    <t>Holds deep institutional knowledge of ON24’s unique workflows, ensuring stability.
Her specialized oversight and real-time US-Pacific support from India are non-redundant
Manages 30% of the org’s Scrum teams (3/10) plus auxiliary PM tasks, maintaining delivery speeds, exceed industry standards.</t>
  </si>
  <si>
    <t>Total FTs</t>
  </si>
  <si>
    <t>Total Contractors</t>
  </si>
  <si>
    <t>QA</t>
  </si>
  <si>
    <t>QA Automation</t>
  </si>
  <si>
    <t>Dev</t>
  </si>
  <si>
    <t>Prod/UI</t>
  </si>
  <si>
    <t>Excluded: Jaimini, Kamal, Mahesh, Steve</t>
  </si>
  <si>
    <t>VP</t>
  </si>
  <si>
    <t>Full-Time (FT)</t>
  </si>
  <si>
    <t>Contractors (Cont)</t>
  </si>
  <si>
    <t>JJ</t>
  </si>
  <si>
    <t>Mahesh</t>
  </si>
  <si>
    <t>Oleg</t>
  </si>
  <si>
    <t>SCRUM Team Count</t>
  </si>
  <si>
    <t>Developer</t>
  </si>
  <si>
    <t>Share Resources</t>
  </si>
  <si>
    <t>Comment</t>
  </si>
  <si>
    <t>FTE</t>
  </si>
  <si>
    <t xml:space="preserve">FTE </t>
  </si>
  <si>
    <t>VC (Dev/QA)</t>
  </si>
  <si>
    <t>Shared resources between GL and VC)</t>
  </si>
  <si>
    <t>Engagement Hub</t>
  </si>
  <si>
    <t>Shared resoruces between (Ehub, VC)</t>
  </si>
  <si>
    <t>Video Team</t>
  </si>
  <si>
    <t>Forums/Console (Dev/QA)</t>
  </si>
  <si>
    <t>Shared resources between (Console+Vids+Forums for both Dev/QA)</t>
  </si>
  <si>
    <t>None</t>
  </si>
  <si>
    <t>Forums (Dev/QA)</t>
  </si>
  <si>
    <t>No shared resources</t>
  </si>
  <si>
    <t>AI (Dev)</t>
  </si>
  <si>
    <t>Dev resources shared between Integration and AI</t>
  </si>
  <si>
    <t>AI (QA) - Forums (Dev/QA)</t>
  </si>
  <si>
    <t>QA shared resources</t>
  </si>
  <si>
    <t>Shared Resources between (ES and Forums)</t>
  </si>
  <si>
    <t>Shared resources between (AI, Integration)</t>
  </si>
  <si>
    <t>Scrum Team Total</t>
  </si>
  <si>
    <t>Other Team Count</t>
  </si>
  <si>
    <t>Comments</t>
  </si>
  <si>
    <t>Scrum Teams</t>
  </si>
  <si>
    <t>Cloud Engg/DevOps</t>
  </si>
  <si>
    <t>Not part of a scrum team</t>
  </si>
  <si>
    <t>Engineering Support</t>
  </si>
  <si>
    <t>Design (UI/UX)</t>
  </si>
  <si>
    <t>Program Management</t>
  </si>
  <si>
    <t>Product Management</t>
  </si>
  <si>
    <t>Engineering Exec Admin</t>
  </si>
  <si>
    <t>Overall Total</t>
  </si>
  <si>
    <t>INT</t>
  </si>
  <si>
    <t>Forum</t>
  </si>
  <si>
    <t>VIDS</t>
  </si>
  <si>
    <t>Managers</t>
  </si>
  <si>
    <t>Mayank</t>
  </si>
  <si>
    <t>Angel</t>
  </si>
  <si>
    <t>Natraja</t>
  </si>
  <si>
    <t>Dev Contractors</t>
  </si>
  <si>
    <t>QA Contractors</t>
  </si>
  <si>
    <t>Jayesh</t>
  </si>
  <si>
    <t>TPM Data</t>
  </si>
  <si>
    <t>AI/Vids/Platform</t>
  </si>
  <si>
    <t>Leads</t>
  </si>
  <si>
    <t>mangers</t>
  </si>
  <si>
    <t>C-Rahul Gupta</t>
  </si>
  <si>
    <t>Deactivated 1/31/26</t>
  </si>
  <si>
    <t>Deactivated Dev</t>
  </si>
  <si>
    <t>c-Mateo Velez</t>
  </si>
  <si>
    <t>C-Juan Casas</t>
  </si>
  <si>
    <t>C-Dennis Martins</t>
  </si>
  <si>
    <t>C-Tejiri Matthew</t>
  </si>
  <si>
    <t>Appgen</t>
  </si>
  <si>
    <t>Our</t>
  </si>
  <si>
    <t>Dev Lead</t>
  </si>
  <si>
    <t>Himanshu</t>
  </si>
  <si>
    <t>Cobin</t>
  </si>
  <si>
    <t>Swati</t>
  </si>
  <si>
    <t>Rumana</t>
  </si>
  <si>
    <t>Piyush</t>
  </si>
  <si>
    <t>Shishir</t>
  </si>
  <si>
    <t>Count of Employment</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</si>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</sst>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2"/>
      <color theme="1"/>
      <name val="Calibri"/>
      <family val="2"/>
      <scheme val="minor"/>
    </font>
    <font>
      <b/>
      <sz val="16"/>
      <color theme="1"/>
      <name val="Calibri"/>
      <family val="2"/>
      <scheme val="minor"/>
    </font>
    <font>
      <sz val="16"/>
      <color theme="1"/>
      <name val="Calibri"/>
      <family val="2"/>
      <scheme val="minor"/>
    </font>
    <font>
      <b/>
      <sz val="16"/>
      <color rgb="FFFF0000"/>
      <name val="Calibri"/>
      <family val="2"/>
      <scheme val="minor"/>
    </font>
    <font>
      <sz val="24"/>
      <color theme="1"/>
      <name val="Calibri"/>
      <family val="2"/>
      <scheme val="minor"/>
    </font>
    <font>
      <b/>
      <sz val="12"/>
      <color theme="1"/>
      <name val="Calibri"/>
      <family val="2"/>
      <scheme val="minor"/>
    </font>
    <font>
      <sz val="18"/>
      <color theme="1"/>
      <name val="Calibri"/>
      <family val="2"/>
      <scheme val="minor"/>
    </font>
    <font>
      <strike/>
      <sz val="16"/>
      <color theme="1"/>
      <name val="Calibri"/>
      <family val="2"/>
      <scheme val="minor"/>
    </font>
    <font>
      <strike/>
      <sz val="16"/>
      <color rgb="FF000000"/>
      <name val="Calibri"/>
      <family val="2"/>
      <scheme val="minor"/>
    </font>
    <font>
      <sz val="16"/>
      <color rgb="FF000000"/>
      <name val="Calibri"/>
      <family val="2"/>
      <scheme val="minor"/>
    </font>
    <font>
      <sz val="14"/>
      <color theme="1"/>
      <name val="Calibri"/>
      <family val="2"/>
      <scheme val="minor"/>
    </font>
    <font>
      <b/>
      <sz val="14"/>
      <color theme="1"/>
      <name val="Calibri"/>
      <family val="2"/>
      <scheme val="minor"/>
    </font>
    <font>
      <b/>
      <sz val="20"/>
      <color theme="0"/>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sz val="11"/>
      <color rgb="FFFF0000"/>
      <name val="Calibri"/>
      <family val="2"/>
      <scheme val="minor"/>
    </font>
  </fonts>
  <fills count="23">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2"/>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8" tint="0.39997558519241921"/>
        <bgColor indexed="64"/>
      </patternFill>
    </fill>
    <fill>
      <patternFill patternType="solid">
        <fgColor theme="3"/>
        <bgColor indexed="64"/>
      </patternFill>
    </fill>
    <fill>
      <patternFill patternType="solid">
        <fgColor theme="5"/>
        <bgColor indexed="64"/>
      </patternFill>
    </fill>
    <fill>
      <patternFill patternType="solid">
        <fgColor theme="8" tint="0.59999389629810485"/>
        <bgColor indexed="64"/>
      </patternFill>
    </fill>
    <fill>
      <patternFill patternType="solid">
        <fgColor rgb="FFEBF1DE"/>
        <bgColor indexed="64"/>
      </patternFill>
    </fill>
    <fill>
      <patternFill patternType="solid">
        <fgColor rgb="FFCCC0DA"/>
        <bgColor indexed="64"/>
      </patternFill>
    </fill>
    <fill>
      <patternFill patternType="solid">
        <fgColor rgb="FFDDD9C4"/>
        <bgColor indexed="64"/>
      </patternFill>
    </fill>
    <fill>
      <patternFill patternType="solid">
        <fgColor theme="4" tint="-0.249977111117893"/>
        <bgColor indexed="64"/>
      </patternFill>
    </fill>
    <fill>
      <patternFill patternType="solid">
        <fgColor rgb="FFFFC000"/>
        <bgColor indexed="64"/>
      </patternFill>
    </fill>
    <fill>
      <patternFill patternType="solid">
        <fgColor theme="6"/>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medium">
        <color indexed="64"/>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style="thin">
        <color indexed="64"/>
      </top>
      <bottom style="thin">
        <color rgb="FF000000"/>
      </bottom>
      <diagonal/>
    </border>
    <border>
      <left/>
      <right/>
      <top style="medium">
        <color indexed="64"/>
      </top>
      <bottom/>
      <diagonal/>
    </border>
    <border>
      <left/>
      <right/>
      <top/>
      <bottom style="medium">
        <color indexed="64"/>
      </bottom>
      <diagonal/>
    </border>
    <border>
      <left style="thin">
        <color rgb="FF000000"/>
      </left>
      <right style="thin">
        <color rgb="FF000000"/>
      </right>
      <top style="thin">
        <color rgb="FF000000"/>
      </top>
      <bottom/>
      <diagonal/>
    </border>
    <border>
      <left style="thin">
        <color indexed="64"/>
      </left>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bottom style="thin">
        <color indexed="64"/>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bottom/>
      <diagonal/>
    </border>
    <border>
      <left/>
      <right style="thin">
        <color rgb="FF9A9A9A"/>
      </right>
      <top style="thin">
        <color rgb="FF9A9A9A"/>
      </top>
      <bottom style="thin">
        <color rgb="FF9A9A9A"/>
      </bottom>
      <diagonal/>
    </border>
    <border>
      <left style="thin">
        <color indexed="64"/>
      </left>
      <right style="medium">
        <color indexed="64"/>
      </right>
      <top style="thin">
        <color indexed="64"/>
      </top>
      <bottom/>
      <diagonal/>
    </border>
    <border>
      <left style="thin">
        <color indexed="64"/>
      </left>
      <right/>
      <top style="thin">
        <color indexed="64"/>
      </top>
      <bottom style="medium">
        <color indexed="64"/>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top style="thin">
        <color indexed="64"/>
      </top>
      <bottom style="thin">
        <color indexed="64"/>
      </bottom>
      <diagonal/>
    </border>
    <border>
      <left style="thin">
        <color rgb="FF000000"/>
      </left>
      <right style="thin">
        <color rgb="FF000000"/>
      </right>
      <top/>
      <bottom/>
      <diagonal/>
    </border>
    <border>
      <left/>
      <right/>
      <top/>
      <bottom style="thin">
        <color rgb="FF000000"/>
      </bottom>
      <diagonal/>
    </border>
    <border>
      <left style="thin">
        <color indexed="64"/>
      </left>
      <right/>
      <top/>
      <bottom/>
      <diagonal/>
    </border>
  </borders>
  <cellStyleXfs count="1">
    <xf numFmtId="0" fontId="0" fillId="0" borderId="0"/>
  </cellStyleXfs>
  <cellXfs count="336">
    <xf numFmtId="0" fontId="0" fillId="0" borderId="0" xfId="0"/>
    <xf numFmtId="0" fontId="3" fillId="0" borderId="0" xfId="0" applyFont="1" applyAlignment="1">
      <alignment horizontal="center"/>
    </xf>
    <xf numFmtId="0" fontId="3" fillId="4" borderId="1" xfId="0" applyFont="1" applyFill="1" applyBorder="1" applyAlignment="1">
      <alignment horizontal="center"/>
    </xf>
    <xf numFmtId="0" fontId="3" fillId="5" borderId="1" xfId="0" applyFont="1" applyFill="1" applyBorder="1" applyAlignment="1">
      <alignment horizontal="center"/>
    </xf>
    <xf numFmtId="0" fontId="3" fillId="6" borderId="1" xfId="0" applyFont="1" applyFill="1" applyBorder="1" applyAlignment="1">
      <alignment horizontal="center"/>
    </xf>
    <xf numFmtId="0" fontId="2" fillId="0" borderId="0" xfId="0" applyFont="1" applyAlignment="1">
      <alignment horizontal="center"/>
    </xf>
    <xf numFmtId="0" fontId="2" fillId="2" borderId="2" xfId="0" applyFont="1" applyFill="1" applyBorder="1" applyAlignment="1">
      <alignment horizontal="center"/>
    </xf>
    <xf numFmtId="0" fontId="2" fillId="2" borderId="5" xfId="0" applyFont="1" applyFill="1" applyBorder="1" applyAlignment="1">
      <alignment horizontal="center" vertical="center"/>
    </xf>
    <xf numFmtId="0" fontId="2" fillId="2" borderId="11" xfId="0" applyFont="1" applyFill="1" applyBorder="1" applyAlignment="1">
      <alignment horizontal="center" vertical="center"/>
    </xf>
    <xf numFmtId="0" fontId="2" fillId="2" borderId="7" xfId="0" applyFont="1" applyFill="1" applyBorder="1" applyAlignment="1">
      <alignment horizontal="center" vertical="center"/>
    </xf>
    <xf numFmtId="0" fontId="3" fillId="0" borderId="0" xfId="0" applyFont="1" applyAlignment="1">
      <alignment horizontal="center" vertical="center"/>
    </xf>
    <xf numFmtId="0" fontId="2" fillId="0" borderId="1" xfId="0" applyFont="1" applyBorder="1" applyAlignment="1">
      <alignment horizontal="center" vertical="center"/>
    </xf>
    <xf numFmtId="0" fontId="3" fillId="5" borderId="13" xfId="0" applyFont="1" applyFill="1" applyBorder="1" applyAlignment="1">
      <alignment horizontal="center"/>
    </xf>
    <xf numFmtId="0" fontId="3" fillId="5" borderId="10" xfId="0" applyFont="1" applyFill="1" applyBorder="1" applyAlignment="1">
      <alignment horizontal="center"/>
    </xf>
    <xf numFmtId="0" fontId="3" fillId="5" borderId="14" xfId="0" applyFont="1" applyFill="1" applyBorder="1" applyAlignment="1">
      <alignment horizontal="center"/>
    </xf>
    <xf numFmtId="0" fontId="3" fillId="6" borderId="6" xfId="0" applyFont="1" applyFill="1" applyBorder="1" applyAlignment="1">
      <alignment horizontal="center"/>
    </xf>
    <xf numFmtId="0" fontId="3" fillId="0" borderId="1" xfId="0" applyFont="1" applyBorder="1" applyAlignment="1">
      <alignment horizontal="center" vertical="center"/>
    </xf>
    <xf numFmtId="0" fontId="3" fillId="5" borderId="1" xfId="0" applyFont="1" applyFill="1" applyBorder="1" applyAlignment="1">
      <alignment horizontal="center" vertical="center"/>
    </xf>
    <xf numFmtId="0" fontId="2" fillId="2" borderId="0" xfId="0" applyFont="1" applyFill="1" applyAlignment="1">
      <alignment horizontal="center" vertical="center"/>
    </xf>
    <xf numFmtId="0" fontId="3" fillId="8" borderId="1" xfId="0" applyFont="1" applyFill="1" applyBorder="1" applyAlignment="1">
      <alignment horizontal="center" vertical="center"/>
    </xf>
    <xf numFmtId="0" fontId="3"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3" fillId="9" borderId="1" xfId="0" applyFont="1" applyFill="1" applyBorder="1" applyAlignment="1">
      <alignment horizontal="center" vertical="center"/>
    </xf>
    <xf numFmtId="0" fontId="3" fillId="10" borderId="1" xfId="0" applyFont="1" applyFill="1" applyBorder="1" applyAlignment="1">
      <alignment horizontal="center" vertical="center"/>
    </xf>
    <xf numFmtId="0" fontId="3" fillId="11" borderId="1" xfId="0" applyFont="1" applyFill="1" applyBorder="1" applyAlignment="1">
      <alignment horizontal="center" vertical="center"/>
    </xf>
    <xf numFmtId="0" fontId="3" fillId="12" borderId="1" xfId="0" applyFont="1" applyFill="1" applyBorder="1" applyAlignment="1">
      <alignment horizontal="center" vertical="center"/>
    </xf>
    <xf numFmtId="0" fontId="4" fillId="2" borderId="1" xfId="0" applyFont="1" applyFill="1" applyBorder="1" applyAlignment="1">
      <alignment horizontal="center" vertical="center"/>
    </xf>
    <xf numFmtId="0" fontId="2" fillId="2" borderId="1" xfId="0" applyFont="1" applyFill="1" applyBorder="1" applyAlignment="1">
      <alignment horizontal="center"/>
    </xf>
    <xf numFmtId="0" fontId="3" fillId="0" borderId="1" xfId="0" applyFont="1" applyBorder="1" applyAlignment="1">
      <alignment horizontal="center"/>
    </xf>
    <xf numFmtId="0" fontId="3" fillId="4" borderId="13" xfId="0" applyFont="1" applyFill="1" applyBorder="1" applyAlignment="1">
      <alignment horizontal="center"/>
    </xf>
    <xf numFmtId="0" fontId="5" fillId="2" borderId="1" xfId="0" applyFont="1" applyFill="1" applyBorder="1" applyAlignment="1">
      <alignment horizontal="center"/>
    </xf>
    <xf numFmtId="0" fontId="5" fillId="0" borderId="1" xfId="0" applyFont="1" applyBorder="1" applyAlignment="1">
      <alignment horizontal="center"/>
    </xf>
    <xf numFmtId="0" fontId="2" fillId="2" borderId="1" xfId="0" applyFont="1" applyFill="1" applyBorder="1" applyAlignment="1">
      <alignment horizontal="center" vertical="center"/>
    </xf>
    <xf numFmtId="0" fontId="3" fillId="9" borderId="4" xfId="0" applyFont="1" applyFill="1" applyBorder="1" applyAlignment="1">
      <alignment horizontal="center" vertical="center"/>
    </xf>
    <xf numFmtId="0" fontId="3" fillId="11" borderId="4" xfId="0" applyFont="1" applyFill="1" applyBorder="1" applyAlignment="1">
      <alignment horizontal="center" vertical="center"/>
    </xf>
    <xf numFmtId="0" fontId="3" fillId="0" borderId="16" xfId="0" applyFont="1" applyBorder="1" applyAlignment="1">
      <alignment horizontal="center" vertical="center"/>
    </xf>
    <xf numFmtId="0" fontId="3" fillId="13" borderId="16" xfId="0" applyFont="1" applyFill="1" applyBorder="1" applyAlignment="1">
      <alignment horizontal="center" vertical="center"/>
    </xf>
    <xf numFmtId="0" fontId="2" fillId="2" borderId="17" xfId="0" applyFont="1" applyFill="1" applyBorder="1" applyAlignment="1">
      <alignment horizontal="center" vertical="center"/>
    </xf>
    <xf numFmtId="0" fontId="4" fillId="0" borderId="0" xfId="0" applyFont="1"/>
    <xf numFmtId="0" fontId="4" fillId="2" borderId="0" xfId="0" applyFont="1" applyFill="1" applyAlignment="1">
      <alignment horizontal="center" vertical="center"/>
    </xf>
    <xf numFmtId="0" fontId="4" fillId="14" borderId="0" xfId="0" applyFont="1" applyFill="1" applyAlignment="1">
      <alignment horizontal="center" vertical="center"/>
    </xf>
    <xf numFmtId="0" fontId="4" fillId="14" borderId="0" xfId="0" applyFont="1" applyFill="1" applyAlignment="1">
      <alignment horizontal="center" vertical="center" wrapText="1"/>
    </xf>
    <xf numFmtId="0" fontId="4" fillId="15" borderId="0" xfId="0" applyFont="1" applyFill="1" applyAlignment="1">
      <alignment horizontal="center" vertical="center"/>
    </xf>
    <xf numFmtId="0" fontId="4" fillId="9" borderId="0" xfId="0" applyFont="1" applyFill="1" applyAlignment="1">
      <alignment horizontal="center" vertical="center"/>
    </xf>
    <xf numFmtId="0" fontId="4" fillId="9" borderId="0" xfId="0" applyFont="1" applyFill="1" applyAlignment="1">
      <alignment horizontal="center" vertical="center" wrapText="1"/>
    </xf>
    <xf numFmtId="0" fontId="7" fillId="0" borderId="0" xfId="0" applyFont="1"/>
    <xf numFmtId="0" fontId="6" fillId="16" borderId="1" xfId="0" applyFont="1" applyFill="1" applyBorder="1" applyAlignment="1">
      <alignment horizontal="center"/>
    </xf>
    <xf numFmtId="0" fontId="6" fillId="0" borderId="1" xfId="0" applyFont="1" applyBorder="1" applyAlignment="1">
      <alignment horizontal="center"/>
    </xf>
    <xf numFmtId="0" fontId="1" fillId="0" borderId="1" xfId="0" applyFont="1" applyBorder="1" applyAlignment="1">
      <alignment horizontal="center"/>
    </xf>
    <xf numFmtId="0" fontId="4" fillId="0" borderId="1" xfId="0" applyFont="1" applyBorder="1" applyAlignment="1">
      <alignment horizontal="center" vertical="center" wrapText="1"/>
    </xf>
    <xf numFmtId="0" fontId="3" fillId="11" borderId="2" xfId="0" applyFont="1" applyFill="1" applyBorder="1" applyAlignment="1">
      <alignment horizontal="center" vertical="center"/>
    </xf>
    <xf numFmtId="0" fontId="3" fillId="2" borderId="0" xfId="0" applyFont="1" applyFill="1" applyAlignment="1">
      <alignment horizontal="center" vertical="center"/>
    </xf>
    <xf numFmtId="0" fontId="3" fillId="2" borderId="1" xfId="0" applyFont="1" applyFill="1" applyBorder="1" applyAlignment="1">
      <alignment horizontal="center" vertical="center"/>
    </xf>
    <xf numFmtId="0" fontId="3" fillId="4" borderId="0" xfId="0" applyFont="1" applyFill="1" applyAlignment="1">
      <alignment horizontal="center"/>
    </xf>
    <xf numFmtId="0" fontId="3" fillId="4" borderId="23" xfId="0" applyFont="1" applyFill="1" applyBorder="1" applyAlignment="1">
      <alignment horizontal="center"/>
    </xf>
    <xf numFmtId="0" fontId="3" fillId="5" borderId="22" xfId="0" applyFont="1" applyFill="1" applyBorder="1" applyAlignment="1">
      <alignment horizontal="center"/>
    </xf>
    <xf numFmtId="0" fontId="3" fillId="5" borderId="0" xfId="0" applyFont="1" applyFill="1" applyAlignment="1">
      <alignment horizontal="center"/>
    </xf>
    <xf numFmtId="0" fontId="3" fillId="5" borderId="23" xfId="0" applyFont="1" applyFill="1" applyBorder="1" applyAlignment="1">
      <alignment horizontal="center"/>
    </xf>
    <xf numFmtId="0" fontId="3" fillId="6" borderId="0" xfId="0" applyFont="1" applyFill="1" applyAlignment="1">
      <alignment horizontal="center"/>
    </xf>
    <xf numFmtId="0" fontId="3" fillId="6" borderId="23" xfId="0" applyFont="1" applyFill="1" applyBorder="1" applyAlignment="1">
      <alignment horizontal="center"/>
    </xf>
    <xf numFmtId="0" fontId="3" fillId="7" borderId="22" xfId="0" applyFont="1" applyFill="1" applyBorder="1" applyAlignment="1">
      <alignment horizontal="center"/>
    </xf>
    <xf numFmtId="0" fontId="3" fillId="7" borderId="0" xfId="0" applyFont="1" applyFill="1" applyAlignment="1">
      <alignment horizontal="center"/>
    </xf>
    <xf numFmtId="0" fontId="3" fillId="7" borderId="23" xfId="0" applyFont="1" applyFill="1" applyBorder="1" applyAlignment="1">
      <alignment horizontal="center"/>
    </xf>
    <xf numFmtId="0" fontId="2" fillId="2" borderId="2" xfId="0" applyFont="1" applyFill="1" applyBorder="1" applyAlignment="1">
      <alignment horizontal="center" wrapText="1"/>
    </xf>
    <xf numFmtId="0" fontId="3" fillId="4" borderId="16" xfId="0" applyFont="1" applyFill="1" applyBorder="1" applyAlignment="1">
      <alignment horizontal="center"/>
    </xf>
    <xf numFmtId="0" fontId="3" fillId="5" borderId="0" xfId="0" applyFont="1" applyFill="1" applyAlignment="1">
      <alignment horizontal="center" wrapText="1"/>
    </xf>
    <xf numFmtId="0" fontId="3" fillId="4" borderId="23" xfId="0" applyFont="1" applyFill="1" applyBorder="1" applyAlignment="1">
      <alignment horizontal="center" vertical="center"/>
    </xf>
    <xf numFmtId="0" fontId="2" fillId="0" borderId="0" xfId="0" applyFont="1" applyAlignment="1">
      <alignment horizontal="left"/>
    </xf>
    <xf numFmtId="0" fontId="2" fillId="2" borderId="1" xfId="0" applyFont="1" applyFill="1" applyBorder="1" applyAlignment="1">
      <alignment horizontal="left" vertical="center"/>
    </xf>
    <xf numFmtId="0" fontId="3" fillId="0" borderId="0" xfId="0" applyFont="1" applyAlignment="1">
      <alignment horizontal="left"/>
    </xf>
    <xf numFmtId="0" fontId="3" fillId="4" borderId="6" xfId="0" applyFont="1" applyFill="1" applyBorder="1" applyAlignment="1">
      <alignment horizontal="left" vertical="center"/>
    </xf>
    <xf numFmtId="0" fontId="3" fillId="0" borderId="1" xfId="0" applyFont="1" applyBorder="1" applyAlignment="1">
      <alignment horizontal="left"/>
    </xf>
    <xf numFmtId="0" fontId="3" fillId="4" borderId="1" xfId="0" applyFont="1" applyFill="1" applyBorder="1" applyAlignment="1">
      <alignment horizontal="left" vertical="center"/>
    </xf>
    <xf numFmtId="0" fontId="3" fillId="4" borderId="10" xfId="0" applyFont="1" applyFill="1" applyBorder="1" applyAlignment="1">
      <alignment horizontal="left" vertical="center"/>
    </xf>
    <xf numFmtId="0" fontId="3" fillId="5" borderId="6" xfId="0" applyFont="1" applyFill="1" applyBorder="1" applyAlignment="1">
      <alignment horizontal="left"/>
    </xf>
    <xf numFmtId="0" fontId="3" fillId="5" borderId="1" xfId="0" applyFont="1" applyFill="1" applyBorder="1" applyAlignment="1">
      <alignment horizontal="left"/>
    </xf>
    <xf numFmtId="0" fontId="3" fillId="6" borderId="1" xfId="0" applyFont="1" applyFill="1" applyBorder="1" applyAlignment="1">
      <alignment horizontal="left"/>
    </xf>
    <xf numFmtId="0" fontId="8" fillId="2" borderId="1" xfId="0" applyFont="1" applyFill="1" applyBorder="1" applyAlignment="1">
      <alignment horizontal="left"/>
    </xf>
    <xf numFmtId="0" fontId="8" fillId="6" borderId="15" xfId="0" applyFont="1" applyFill="1" applyBorder="1" applyAlignment="1">
      <alignment horizontal="left"/>
    </xf>
    <xf numFmtId="0" fontId="8" fillId="0" borderId="0" xfId="0" applyFont="1" applyAlignment="1">
      <alignment horizontal="left"/>
    </xf>
    <xf numFmtId="0" fontId="3" fillId="6" borderId="10" xfId="0" applyFont="1" applyFill="1" applyBorder="1" applyAlignment="1">
      <alignment horizontal="left"/>
    </xf>
    <xf numFmtId="0" fontId="2" fillId="2" borderId="1" xfId="0" applyFont="1" applyFill="1" applyBorder="1" applyAlignment="1">
      <alignment horizontal="left"/>
    </xf>
    <xf numFmtId="0" fontId="3" fillId="0" borderId="1" xfId="0" applyFont="1" applyBorder="1" applyAlignment="1">
      <alignment horizontal="left" vertical="center"/>
    </xf>
    <xf numFmtId="0" fontId="3" fillId="0" borderId="0" xfId="0" applyFont="1" applyAlignment="1">
      <alignment horizontal="left" vertical="center"/>
    </xf>
    <xf numFmtId="0" fontId="2" fillId="0" borderId="1" xfId="0" applyFont="1" applyBorder="1" applyAlignment="1">
      <alignment horizontal="left"/>
    </xf>
    <xf numFmtId="0" fontId="9" fillId="6" borderId="16" xfId="0" applyFont="1" applyFill="1" applyBorder="1" applyAlignment="1">
      <alignment horizontal="left"/>
    </xf>
    <xf numFmtId="0" fontId="3" fillId="4" borderId="16" xfId="0" applyFont="1" applyFill="1" applyBorder="1" applyAlignment="1">
      <alignment horizontal="left" vertical="center" wrapText="1"/>
    </xf>
    <xf numFmtId="0" fontId="3" fillId="4" borderId="16" xfId="0" applyFont="1" applyFill="1" applyBorder="1" applyAlignment="1">
      <alignment horizontal="left" vertical="center"/>
    </xf>
    <xf numFmtId="14" fontId="3" fillId="4" borderId="16" xfId="0" applyNumberFormat="1" applyFont="1" applyFill="1" applyBorder="1" applyAlignment="1">
      <alignment horizontal="left" vertical="center"/>
    </xf>
    <xf numFmtId="0" fontId="3" fillId="4" borderId="16" xfId="0" applyFont="1" applyFill="1" applyBorder="1" applyAlignment="1">
      <alignment horizontal="left" wrapText="1"/>
    </xf>
    <xf numFmtId="0" fontId="3" fillId="5" borderId="16" xfId="0" applyFont="1" applyFill="1" applyBorder="1" applyAlignment="1">
      <alignment horizontal="left"/>
    </xf>
    <xf numFmtId="0" fontId="3" fillId="5" borderId="24" xfId="0" applyFont="1" applyFill="1" applyBorder="1" applyAlignment="1">
      <alignment horizontal="left"/>
    </xf>
    <xf numFmtId="0" fontId="3" fillId="7" borderId="16" xfId="0" applyFont="1" applyFill="1" applyBorder="1" applyAlignment="1">
      <alignment horizontal="left"/>
    </xf>
    <xf numFmtId="14" fontId="3" fillId="4" borderId="16" xfId="0" applyNumberFormat="1" applyFont="1" applyFill="1" applyBorder="1" applyAlignment="1">
      <alignment horizontal="left" vertical="center" wrapText="1"/>
    </xf>
    <xf numFmtId="0" fontId="3" fillId="11" borderId="15" xfId="0" applyFont="1" applyFill="1" applyBorder="1" applyAlignment="1">
      <alignment horizontal="center" vertical="center"/>
    </xf>
    <xf numFmtId="0" fontId="3" fillId="2" borderId="4" xfId="0" applyFont="1" applyFill="1" applyBorder="1" applyAlignment="1">
      <alignment horizontal="center" vertical="center"/>
    </xf>
    <xf numFmtId="0" fontId="3" fillId="11" borderId="16" xfId="0" applyFont="1" applyFill="1" applyBorder="1" applyAlignment="1">
      <alignment horizontal="center" vertical="center"/>
    </xf>
    <xf numFmtId="0" fontId="3" fillId="6" borderId="28" xfId="0" applyFont="1" applyFill="1" applyBorder="1" applyAlignment="1">
      <alignment horizontal="left" wrapText="1"/>
    </xf>
    <xf numFmtId="0" fontId="3" fillId="6" borderId="29" xfId="0" applyFont="1" applyFill="1" applyBorder="1" applyAlignment="1">
      <alignment horizontal="left" wrapText="1"/>
    </xf>
    <xf numFmtId="0" fontId="8" fillId="2" borderId="1" xfId="0" applyFont="1" applyFill="1" applyBorder="1" applyAlignment="1">
      <alignment horizontal="center" vertical="center"/>
    </xf>
    <xf numFmtId="0" fontId="3" fillId="5" borderId="16" xfId="0" applyFont="1" applyFill="1" applyBorder="1" applyAlignment="1">
      <alignment horizontal="left" wrapText="1"/>
    </xf>
    <xf numFmtId="0" fontId="3" fillId="5" borderId="16" xfId="0" applyFont="1" applyFill="1" applyBorder="1" applyAlignment="1">
      <alignment wrapText="1"/>
    </xf>
    <xf numFmtId="0" fontId="11" fillId="0" borderId="0" xfId="0" applyFont="1"/>
    <xf numFmtId="0" fontId="3" fillId="0" borderId="0" xfId="0" applyFont="1" applyAlignment="1">
      <alignment vertical="center" wrapText="1"/>
    </xf>
    <xf numFmtId="0" fontId="3" fillId="0" borderId="0" xfId="0" applyFont="1" applyAlignment="1">
      <alignment vertical="center"/>
    </xf>
    <xf numFmtId="0" fontId="3" fillId="5" borderId="24" xfId="0" applyFont="1" applyFill="1" applyBorder="1" applyAlignment="1">
      <alignment horizontal="left" wrapText="1"/>
    </xf>
    <xf numFmtId="0" fontId="3" fillId="5" borderId="23" xfId="0" applyFont="1" applyFill="1" applyBorder="1" applyAlignment="1">
      <alignment horizontal="center" wrapText="1"/>
    </xf>
    <xf numFmtId="14" fontId="3" fillId="5" borderId="16" xfId="0" applyNumberFormat="1" applyFont="1" applyFill="1" applyBorder="1" applyAlignment="1">
      <alignment horizontal="left" wrapText="1"/>
    </xf>
    <xf numFmtId="14" fontId="3" fillId="4" borderId="16" xfId="0" applyNumberFormat="1" applyFont="1" applyFill="1" applyBorder="1" applyAlignment="1">
      <alignment horizontal="center"/>
    </xf>
    <xf numFmtId="14" fontId="3" fillId="5" borderId="16" xfId="0" applyNumberFormat="1" applyFont="1" applyFill="1" applyBorder="1" applyAlignment="1">
      <alignment horizontal="left"/>
    </xf>
    <xf numFmtId="0" fontId="3" fillId="3" borderId="15" xfId="0" applyFont="1" applyFill="1" applyBorder="1" applyAlignment="1">
      <alignment horizontal="center" vertical="center"/>
    </xf>
    <xf numFmtId="14" fontId="3" fillId="6" borderId="1" xfId="0" applyNumberFormat="1" applyFont="1" applyFill="1" applyBorder="1" applyAlignment="1">
      <alignment horizontal="center"/>
    </xf>
    <xf numFmtId="0" fontId="3" fillId="12" borderId="31" xfId="0" applyFont="1" applyFill="1" applyBorder="1" applyAlignment="1">
      <alignment horizontal="center" vertical="center"/>
    </xf>
    <xf numFmtId="0" fontId="3" fillId="12" borderId="15" xfId="0" applyFont="1" applyFill="1" applyBorder="1" applyAlignment="1">
      <alignment horizontal="center" vertical="center"/>
    </xf>
    <xf numFmtId="0" fontId="3" fillId="9" borderId="15" xfId="0" applyFont="1" applyFill="1" applyBorder="1" applyAlignment="1">
      <alignment horizontal="center" vertical="center"/>
    </xf>
    <xf numFmtId="0" fontId="3" fillId="4" borderId="15" xfId="0" applyFont="1" applyFill="1" applyBorder="1" applyAlignment="1">
      <alignment horizontal="center" vertical="center"/>
    </xf>
    <xf numFmtId="0" fontId="3" fillId="10" borderId="27" xfId="0" applyFont="1" applyFill="1" applyBorder="1" applyAlignment="1">
      <alignment horizontal="center" vertical="center"/>
    </xf>
    <xf numFmtId="0" fontId="3" fillId="10" borderId="15" xfId="0" applyFont="1" applyFill="1" applyBorder="1" applyAlignment="1">
      <alignment horizontal="center" vertical="center"/>
    </xf>
    <xf numFmtId="0" fontId="3" fillId="5" borderId="15" xfId="0" applyFont="1" applyFill="1" applyBorder="1" applyAlignment="1">
      <alignment horizontal="center" vertical="center"/>
    </xf>
    <xf numFmtId="0" fontId="3" fillId="7" borderId="26" xfId="0" applyFont="1" applyFill="1" applyBorder="1" applyAlignment="1">
      <alignment horizontal="center"/>
    </xf>
    <xf numFmtId="14" fontId="3" fillId="7" borderId="26" xfId="0" applyNumberFormat="1" applyFont="1" applyFill="1" applyBorder="1" applyAlignment="1">
      <alignment horizontal="center"/>
    </xf>
    <xf numFmtId="14" fontId="3" fillId="7" borderId="26" xfId="0" applyNumberFormat="1" applyFont="1" applyFill="1" applyBorder="1" applyAlignment="1">
      <alignment horizontal="center" vertical="center"/>
    </xf>
    <xf numFmtId="0" fontId="3" fillId="7" borderId="16" xfId="0" applyFont="1" applyFill="1" applyBorder="1" applyAlignment="1">
      <alignment horizontal="center" wrapText="1"/>
    </xf>
    <xf numFmtId="0" fontId="2" fillId="2" borderId="2" xfId="0" applyFont="1" applyFill="1" applyBorder="1" applyAlignment="1">
      <alignment horizontal="center" vertical="center" wrapText="1"/>
    </xf>
    <xf numFmtId="0" fontId="3" fillId="4" borderId="0" xfId="0" applyFont="1" applyFill="1" applyAlignment="1">
      <alignment horizontal="center" vertical="center"/>
    </xf>
    <xf numFmtId="0" fontId="3" fillId="5" borderId="0" xfId="0" applyFont="1" applyFill="1" applyAlignment="1">
      <alignment horizontal="center" vertical="center"/>
    </xf>
    <xf numFmtId="0" fontId="3" fillId="6" borderId="0" xfId="0" applyFont="1" applyFill="1" applyAlignment="1">
      <alignment horizontal="center" vertical="center"/>
    </xf>
    <xf numFmtId="0" fontId="3" fillId="6" borderId="30" xfId="0" applyFont="1" applyFill="1" applyBorder="1" applyAlignment="1">
      <alignment horizontal="center" vertical="center"/>
    </xf>
    <xf numFmtId="0" fontId="3" fillId="7" borderId="16" xfId="0" applyFont="1" applyFill="1" applyBorder="1" applyAlignment="1">
      <alignment horizontal="center" vertical="center"/>
    </xf>
    <xf numFmtId="0" fontId="3" fillId="8" borderId="15" xfId="0" applyFont="1" applyFill="1" applyBorder="1" applyAlignment="1">
      <alignment horizontal="center" vertical="center"/>
    </xf>
    <xf numFmtId="0" fontId="3" fillId="5" borderId="26" xfId="0" applyFont="1" applyFill="1" applyBorder="1" applyAlignment="1">
      <alignment horizontal="center"/>
    </xf>
    <xf numFmtId="14" fontId="3" fillId="5" borderId="26" xfId="0" applyNumberFormat="1" applyFont="1" applyFill="1" applyBorder="1" applyAlignment="1">
      <alignment horizontal="center"/>
    </xf>
    <xf numFmtId="0" fontId="3" fillId="6" borderId="26" xfId="0" applyFont="1" applyFill="1" applyBorder="1" applyAlignment="1">
      <alignment horizontal="center"/>
    </xf>
    <xf numFmtId="14" fontId="3" fillId="6" borderId="26" xfId="0" applyNumberFormat="1" applyFont="1" applyFill="1" applyBorder="1" applyAlignment="1">
      <alignment horizontal="center"/>
    </xf>
    <xf numFmtId="0" fontId="3" fillId="5" borderId="16" xfId="0" applyFont="1" applyFill="1" applyBorder="1" applyAlignment="1">
      <alignment horizontal="center" wrapText="1"/>
    </xf>
    <xf numFmtId="0" fontId="3" fillId="6" borderId="16" xfId="0" applyFont="1" applyFill="1" applyBorder="1" applyAlignment="1">
      <alignment horizontal="center" wrapText="1"/>
    </xf>
    <xf numFmtId="0" fontId="3" fillId="4" borderId="26" xfId="0" applyFont="1" applyFill="1" applyBorder="1" applyAlignment="1">
      <alignment horizontal="center"/>
    </xf>
    <xf numFmtId="0" fontId="3" fillId="8" borderId="1" xfId="0" applyFont="1" applyFill="1" applyBorder="1" applyAlignment="1">
      <alignment vertical="center"/>
    </xf>
    <xf numFmtId="14" fontId="3" fillId="5" borderId="24" xfId="0" applyNumberFormat="1" applyFont="1" applyFill="1" applyBorder="1" applyAlignment="1">
      <alignment horizontal="left" wrapText="1"/>
    </xf>
    <xf numFmtId="0" fontId="3" fillId="7" borderId="16" xfId="0" applyFont="1" applyFill="1" applyBorder="1" applyAlignment="1">
      <alignment horizontal="left" wrapText="1"/>
    </xf>
    <xf numFmtId="0" fontId="3" fillId="4" borderId="16" xfId="0" applyFont="1" applyFill="1" applyBorder="1" applyAlignment="1">
      <alignment horizontal="center" wrapText="1"/>
    </xf>
    <xf numFmtId="0" fontId="3" fillId="6" borderId="32" xfId="0" applyFont="1" applyFill="1" applyBorder="1" applyAlignment="1">
      <alignment horizontal="center" wrapText="1"/>
    </xf>
    <xf numFmtId="0" fontId="3" fillId="6" borderId="29" xfId="0" applyFont="1" applyFill="1" applyBorder="1" applyAlignment="1">
      <alignment horizontal="center" wrapText="1"/>
    </xf>
    <xf numFmtId="0" fontId="3" fillId="3" borderId="15" xfId="0" applyFont="1" applyFill="1" applyBorder="1" applyAlignment="1">
      <alignment horizontal="center" vertical="center" wrapText="1"/>
    </xf>
    <xf numFmtId="0" fontId="3" fillId="0" borderId="0" xfId="0" applyFont="1" applyAlignment="1">
      <alignment horizontal="center" vertical="center" wrapText="1"/>
    </xf>
    <xf numFmtId="0" fontId="0" fillId="0" borderId="0" xfId="0" pivotButton="1"/>
    <xf numFmtId="0" fontId="3" fillId="5" borderId="16" xfId="0" applyFont="1" applyFill="1" applyBorder="1" applyAlignment="1">
      <alignment horizontal="left" vertical="center" indent="16"/>
    </xf>
    <xf numFmtId="0" fontId="3" fillId="5" borderId="15" xfId="0" applyFont="1" applyFill="1" applyBorder="1" applyAlignment="1">
      <alignment horizontal="center"/>
    </xf>
    <xf numFmtId="14" fontId="3" fillId="5" borderId="15" xfId="0" applyNumberFormat="1" applyFont="1" applyFill="1" applyBorder="1" applyAlignment="1">
      <alignment horizontal="center"/>
    </xf>
    <xf numFmtId="14" fontId="2" fillId="5" borderId="15" xfId="0" applyNumberFormat="1" applyFont="1" applyFill="1" applyBorder="1" applyAlignment="1">
      <alignment horizontal="center"/>
    </xf>
    <xf numFmtId="0" fontId="2" fillId="2" borderId="0" xfId="0" applyFont="1" applyFill="1" applyAlignment="1">
      <alignment horizontal="left"/>
    </xf>
    <xf numFmtId="0" fontId="3" fillId="17" borderId="1" xfId="0" applyFont="1" applyFill="1" applyBorder="1" applyAlignment="1">
      <alignment horizontal="center" vertical="center"/>
    </xf>
    <xf numFmtId="0" fontId="3" fillId="17" borderId="15" xfId="0" applyFont="1" applyFill="1" applyBorder="1" applyAlignment="1">
      <alignment horizontal="center" vertical="center"/>
    </xf>
    <xf numFmtId="0" fontId="3" fillId="18" borderId="16" xfId="0" applyFont="1" applyFill="1" applyBorder="1" applyAlignment="1">
      <alignment horizontal="center" wrapText="1"/>
    </xf>
    <xf numFmtId="0" fontId="3" fillId="19" borderId="26" xfId="0" applyFont="1" applyFill="1" applyBorder="1" applyAlignment="1">
      <alignment horizontal="center"/>
    </xf>
    <xf numFmtId="0" fontId="3" fillId="19" borderId="16" xfId="0" applyFont="1" applyFill="1" applyBorder="1" applyAlignment="1">
      <alignment horizontal="center" wrapText="1"/>
    </xf>
    <xf numFmtId="0" fontId="3" fillId="19" borderId="0" xfId="0" applyFont="1" applyFill="1" applyAlignment="1">
      <alignment horizontal="center" vertical="center"/>
    </xf>
    <xf numFmtId="14" fontId="3" fillId="18" borderId="26" xfId="0" applyNumberFormat="1" applyFont="1" applyFill="1" applyBorder="1" applyAlignment="1">
      <alignment horizontal="center"/>
    </xf>
    <xf numFmtId="0" fontId="3" fillId="18" borderId="0" xfId="0" applyFont="1" applyFill="1" applyAlignment="1">
      <alignment horizontal="center" vertical="center"/>
    </xf>
    <xf numFmtId="0" fontId="3" fillId="6" borderId="15" xfId="0" applyFont="1" applyFill="1" applyBorder="1" applyAlignment="1">
      <alignment horizontal="center"/>
    </xf>
    <xf numFmtId="0" fontId="3" fillId="0" borderId="1" xfId="0" applyFont="1" applyBorder="1"/>
    <xf numFmtId="0" fontId="3" fillId="0" borderId="0" xfId="0" applyFont="1"/>
    <xf numFmtId="0" fontId="2" fillId="2" borderId="1" xfId="0" applyFont="1" applyFill="1" applyBorder="1" applyAlignment="1">
      <alignment vertical="center"/>
    </xf>
    <xf numFmtId="0" fontId="3" fillId="0" borderId="1" xfId="0" applyFont="1" applyBorder="1" applyAlignment="1">
      <alignment vertical="center"/>
    </xf>
    <xf numFmtId="0" fontId="3" fillId="4" borderId="6" xfId="0" applyFont="1" applyFill="1" applyBorder="1" applyAlignment="1">
      <alignment horizontal="center" vertical="center"/>
    </xf>
    <xf numFmtId="0" fontId="3" fillId="4" borderId="1" xfId="0" applyFont="1" applyFill="1" applyBorder="1" applyAlignment="1">
      <alignment horizontal="center" vertical="center" wrapText="1"/>
    </xf>
    <xf numFmtId="0" fontId="3" fillId="4" borderId="10" xfId="0" applyFont="1" applyFill="1" applyBorder="1" applyAlignment="1">
      <alignment horizontal="center" vertical="center"/>
    </xf>
    <xf numFmtId="0" fontId="3" fillId="5" borderId="6" xfId="0" applyFont="1" applyFill="1" applyBorder="1" applyAlignment="1">
      <alignment horizontal="center"/>
    </xf>
    <xf numFmtId="0" fontId="3" fillId="6" borderId="10" xfId="0" applyFont="1" applyFill="1" applyBorder="1" applyAlignment="1">
      <alignment horizontal="center"/>
    </xf>
    <xf numFmtId="0" fontId="3" fillId="4" borderId="12" xfId="0" applyFont="1" applyFill="1" applyBorder="1" applyAlignment="1">
      <alignment horizontal="center" vertical="center"/>
    </xf>
    <xf numFmtId="0" fontId="3" fillId="4" borderId="13" xfId="0" applyFont="1" applyFill="1" applyBorder="1" applyAlignment="1">
      <alignment horizontal="center" vertical="center"/>
    </xf>
    <xf numFmtId="0" fontId="3" fillId="4" borderId="14" xfId="0" applyFont="1" applyFill="1" applyBorder="1" applyAlignment="1">
      <alignment horizontal="center" vertical="center"/>
    </xf>
    <xf numFmtId="0" fontId="3" fillId="5" borderId="12" xfId="0" applyFont="1" applyFill="1" applyBorder="1" applyAlignment="1">
      <alignment horizontal="center"/>
    </xf>
    <xf numFmtId="0" fontId="11" fillId="0" borderId="16" xfId="0" applyFont="1" applyBorder="1" applyAlignment="1">
      <alignment horizontal="center" vertical="center"/>
    </xf>
    <xf numFmtId="0" fontId="11" fillId="0" borderId="1" xfId="0" applyFont="1" applyBorder="1" applyAlignment="1">
      <alignment horizontal="center" vertical="center"/>
    </xf>
    <xf numFmtId="0" fontId="0" fillId="0" borderId="1" xfId="0" applyBorder="1" applyAlignment="1">
      <alignment horizontal="center" vertical="center"/>
    </xf>
    <xf numFmtId="0" fontId="11" fillId="0" borderId="26" xfId="0" applyFont="1" applyBorder="1" applyAlignment="1">
      <alignment horizontal="center" vertical="center"/>
    </xf>
    <xf numFmtId="0" fontId="0" fillId="0" borderId="26" xfId="0" applyBorder="1" applyAlignment="1">
      <alignment horizontal="center" vertical="center"/>
    </xf>
    <xf numFmtId="0" fontId="0" fillId="0" borderId="16" xfId="0" applyBorder="1" applyAlignment="1">
      <alignment horizontal="center"/>
    </xf>
    <xf numFmtId="0" fontId="0" fillId="0" borderId="15" xfId="0" applyBorder="1" applyAlignment="1">
      <alignment horizontal="center" vertical="center"/>
    </xf>
    <xf numFmtId="0" fontId="11" fillId="0" borderId="15" xfId="0" applyFont="1" applyBorder="1" applyAlignment="1">
      <alignment horizontal="center" vertical="center"/>
    </xf>
    <xf numFmtId="0" fontId="12" fillId="0" borderId="16" xfId="0" applyFont="1" applyBorder="1" applyAlignment="1">
      <alignment horizontal="center" vertical="center"/>
    </xf>
    <xf numFmtId="0" fontId="12" fillId="21" borderId="16" xfId="0" applyFont="1" applyFill="1" applyBorder="1" applyAlignment="1">
      <alignment horizontal="center" vertical="center"/>
    </xf>
    <xf numFmtId="0" fontId="11" fillId="0" borderId="16" xfId="0" applyFont="1" applyBorder="1" applyAlignment="1">
      <alignment horizontal="center"/>
    </xf>
    <xf numFmtId="0" fontId="11" fillId="21" borderId="16" xfId="0" applyFont="1" applyFill="1" applyBorder="1"/>
    <xf numFmtId="0" fontId="3" fillId="7" borderId="16" xfId="0" applyFont="1" applyFill="1" applyBorder="1" applyAlignment="1">
      <alignment horizontal="left" vertical="center" wrapText="1"/>
    </xf>
    <xf numFmtId="0" fontId="3" fillId="7" borderId="6" xfId="0" applyFont="1" applyFill="1" applyBorder="1" applyAlignment="1">
      <alignment horizontal="left" vertical="center" wrapText="1"/>
    </xf>
    <xf numFmtId="0" fontId="3" fillId="7" borderId="6" xfId="0" applyFont="1" applyFill="1" applyBorder="1" applyAlignment="1">
      <alignment horizontal="center" vertical="center" wrapText="1"/>
    </xf>
    <xf numFmtId="0" fontId="3" fillId="7" borderId="25" xfId="0" applyFont="1" applyFill="1" applyBorder="1" applyAlignment="1">
      <alignment horizontal="center" vertical="center" wrapText="1"/>
    </xf>
    <xf numFmtId="0" fontId="3" fillId="7" borderId="1" xfId="0" applyFont="1" applyFill="1" applyBorder="1" applyAlignment="1">
      <alignment horizontal="left" vertical="center"/>
    </xf>
    <xf numFmtId="0" fontId="3" fillId="7" borderId="1" xfId="0" applyFont="1" applyFill="1" applyBorder="1" applyAlignment="1">
      <alignment horizontal="center" vertical="center"/>
    </xf>
    <xf numFmtId="0" fontId="3" fillId="7" borderId="15" xfId="0" applyFont="1" applyFill="1" applyBorder="1" applyAlignment="1">
      <alignment horizontal="center" vertical="center"/>
    </xf>
    <xf numFmtId="0" fontId="3" fillId="6" borderId="16" xfId="0" applyFont="1" applyFill="1" applyBorder="1" applyAlignment="1">
      <alignment horizontal="left"/>
    </xf>
    <xf numFmtId="0" fontId="3" fillId="6" borderId="16" xfId="0" applyFont="1" applyFill="1" applyBorder="1" applyAlignment="1">
      <alignment horizontal="center"/>
    </xf>
    <xf numFmtId="0" fontId="10" fillId="6" borderId="16" xfId="0" applyFont="1" applyFill="1" applyBorder="1" applyAlignment="1">
      <alignment vertical="top" wrapText="1"/>
    </xf>
    <xf numFmtId="14" fontId="10" fillId="6" borderId="16" xfId="0" applyNumberFormat="1" applyFont="1" applyFill="1" applyBorder="1"/>
    <xf numFmtId="0" fontId="10" fillId="6" borderId="16" xfId="0" applyFont="1" applyFill="1" applyBorder="1" applyAlignment="1">
      <alignment wrapText="1"/>
    </xf>
    <xf numFmtId="0" fontId="10" fillId="6" borderId="36" xfId="0" applyFont="1" applyFill="1" applyBorder="1"/>
    <xf numFmtId="0" fontId="3" fillId="6" borderId="11" xfId="0" applyFont="1" applyFill="1" applyBorder="1" applyAlignment="1">
      <alignment horizontal="center"/>
    </xf>
    <xf numFmtId="0" fontId="3" fillId="6" borderId="37" xfId="0" applyFont="1" applyFill="1" applyBorder="1" applyAlignment="1">
      <alignment horizontal="center"/>
    </xf>
    <xf numFmtId="0" fontId="3" fillId="6" borderId="4" xfId="0" applyFont="1" applyFill="1" applyBorder="1" applyAlignment="1">
      <alignment horizontal="left"/>
    </xf>
    <xf numFmtId="0" fontId="10" fillId="6" borderId="16" xfId="0" applyFont="1" applyFill="1" applyBorder="1"/>
    <xf numFmtId="0" fontId="3" fillId="6" borderId="29" xfId="0" applyFont="1" applyFill="1" applyBorder="1" applyAlignment="1">
      <alignment horizontal="center"/>
    </xf>
    <xf numFmtId="0" fontId="3" fillId="6" borderId="31" xfId="0" applyFont="1" applyFill="1" applyBorder="1" applyAlignment="1">
      <alignment horizontal="center"/>
    </xf>
    <xf numFmtId="0" fontId="3" fillId="6" borderId="38" xfId="0" applyFont="1" applyFill="1" applyBorder="1" applyAlignment="1">
      <alignment horizontal="center"/>
    </xf>
    <xf numFmtId="0" fontId="3" fillId="6" borderId="24" xfId="0" applyFont="1" applyFill="1" applyBorder="1" applyAlignment="1">
      <alignment horizontal="center"/>
    </xf>
    <xf numFmtId="0" fontId="3" fillId="7" borderId="39" xfId="0" applyFont="1" applyFill="1" applyBorder="1" applyAlignment="1">
      <alignment horizontal="left" vertical="center" wrapText="1"/>
    </xf>
    <xf numFmtId="0" fontId="3" fillId="10" borderId="2" xfId="0" applyFont="1" applyFill="1" applyBorder="1" applyAlignment="1">
      <alignment horizontal="center" vertical="center"/>
    </xf>
    <xf numFmtId="0" fontId="3" fillId="10" borderId="4" xfId="0" applyFont="1" applyFill="1" applyBorder="1" applyAlignment="1">
      <alignment horizontal="center" vertical="center"/>
    </xf>
    <xf numFmtId="0" fontId="4" fillId="0" borderId="26" xfId="0" applyFont="1" applyBorder="1" applyAlignment="1">
      <alignment horizontal="center" vertical="center" wrapText="1"/>
    </xf>
    <xf numFmtId="0" fontId="0" fillId="0" borderId="16" xfId="0" applyBorder="1"/>
    <xf numFmtId="0" fontId="12" fillId="0" borderId="16" xfId="0" applyFont="1" applyBorder="1"/>
    <xf numFmtId="0" fontId="2" fillId="2" borderId="27" xfId="0" applyFont="1" applyFill="1" applyBorder="1" applyAlignment="1">
      <alignment horizontal="center" vertical="center" wrapText="1"/>
    </xf>
    <xf numFmtId="0" fontId="3" fillId="6" borderId="40" xfId="0" applyFont="1" applyFill="1" applyBorder="1" applyAlignment="1">
      <alignment horizontal="center" vertical="center"/>
    </xf>
    <xf numFmtId="0" fontId="3" fillId="7" borderId="29" xfId="0" applyFont="1" applyFill="1" applyBorder="1" applyAlignment="1">
      <alignment horizontal="center" vertical="center"/>
    </xf>
    <xf numFmtId="0" fontId="3" fillId="5" borderId="29" xfId="0" applyFont="1" applyFill="1" applyBorder="1" applyAlignment="1">
      <alignment horizontal="center" vertical="center"/>
    </xf>
    <xf numFmtId="0" fontId="3" fillId="5" borderId="28" xfId="0" applyFont="1" applyFill="1" applyBorder="1" applyAlignment="1">
      <alignment horizontal="center" vertical="center"/>
    </xf>
    <xf numFmtId="0" fontId="3" fillId="3" borderId="41" xfId="0" applyFont="1" applyFill="1" applyBorder="1" applyAlignment="1">
      <alignment horizontal="center" vertical="center"/>
    </xf>
    <xf numFmtId="0" fontId="4" fillId="0" borderId="26" xfId="0" applyFont="1" applyBorder="1" applyAlignment="1">
      <alignment horizontal="center" vertical="center"/>
    </xf>
    <xf numFmtId="0" fontId="3" fillId="3" borderId="30" xfId="0" applyFont="1" applyFill="1" applyBorder="1" applyAlignment="1">
      <alignment horizontal="center" vertical="center"/>
    </xf>
    <xf numFmtId="0" fontId="3" fillId="0" borderId="30" xfId="0" applyFont="1" applyBorder="1" applyAlignment="1">
      <alignment horizontal="center" vertical="center"/>
    </xf>
    <xf numFmtId="0" fontId="3" fillId="17" borderId="44" xfId="0" applyFont="1" applyFill="1" applyBorder="1" applyAlignment="1">
      <alignment horizontal="center" vertical="center"/>
    </xf>
    <xf numFmtId="0" fontId="3" fillId="11" borderId="30" xfId="0" applyFont="1" applyFill="1" applyBorder="1" applyAlignment="1">
      <alignment horizontal="center" vertical="center"/>
    </xf>
    <xf numFmtId="0" fontId="3" fillId="17" borderId="27" xfId="0" applyFont="1" applyFill="1" applyBorder="1" applyAlignment="1">
      <alignment horizontal="center" vertical="center"/>
    </xf>
    <xf numFmtId="0" fontId="3" fillId="17" borderId="31" xfId="0" applyFont="1" applyFill="1" applyBorder="1" applyAlignment="1">
      <alignment horizontal="center" vertical="center"/>
    </xf>
    <xf numFmtId="0" fontId="15" fillId="0" borderId="0" xfId="0" applyFont="1"/>
    <xf numFmtId="0" fontId="15" fillId="0" borderId="34" xfId="0" applyFont="1" applyBorder="1" applyAlignment="1">
      <alignment horizontal="center" vertical="center"/>
    </xf>
    <xf numFmtId="0" fontId="15" fillId="0" borderId="33" xfId="0" applyFont="1" applyBorder="1" applyAlignment="1">
      <alignment horizontal="center" vertical="center"/>
    </xf>
    <xf numFmtId="0" fontId="0" fillId="0" borderId="0" xfId="0" applyAlignment="1">
      <alignment horizontal="center" vertical="center"/>
    </xf>
    <xf numFmtId="0" fontId="12" fillId="0" borderId="16" xfId="0" applyFont="1" applyBorder="1" applyAlignment="1">
      <alignment horizontal="center"/>
    </xf>
    <xf numFmtId="0" fontId="0" fillId="0" borderId="0" xfId="0" applyAlignment="1">
      <alignment horizontal="center"/>
    </xf>
    <xf numFmtId="0" fontId="12" fillId="0" borderId="0" xfId="0" applyFont="1" applyAlignment="1">
      <alignment horizontal="center"/>
    </xf>
    <xf numFmtId="0" fontId="17" fillId="0" borderId="16" xfId="0" applyFont="1" applyBorder="1" applyAlignment="1">
      <alignment horizontal="center"/>
    </xf>
    <xf numFmtId="0" fontId="2" fillId="2" borderId="2" xfId="0" applyFont="1" applyFill="1" applyBorder="1" applyAlignment="1">
      <alignment horizontal="center" vertical="center"/>
    </xf>
    <xf numFmtId="0" fontId="2" fillId="0" borderId="0" xfId="0" applyFont="1" applyAlignment="1">
      <alignment horizontal="center" vertical="center"/>
    </xf>
    <xf numFmtId="0" fontId="12" fillId="22" borderId="16" xfId="0" applyFont="1" applyFill="1" applyBorder="1" applyAlignment="1">
      <alignment horizontal="center" vertical="center"/>
    </xf>
    <xf numFmtId="1" fontId="12" fillId="22" borderId="16" xfId="0" applyNumberFormat="1" applyFont="1" applyFill="1" applyBorder="1" applyAlignment="1">
      <alignment horizontal="center" vertical="center"/>
    </xf>
    <xf numFmtId="0" fontId="11" fillId="0" borderId="0" xfId="0" applyFont="1" applyAlignment="1">
      <alignment horizontal="center" vertical="center"/>
    </xf>
    <xf numFmtId="0" fontId="15" fillId="0" borderId="0" xfId="0" applyFont="1" applyAlignment="1">
      <alignment horizontal="center" vertical="center"/>
    </xf>
    <xf numFmtId="0" fontId="11" fillId="0" borderId="16" xfId="0" applyFont="1" applyBorder="1" applyAlignment="1">
      <alignment horizontal="left" vertical="top"/>
    </xf>
    <xf numFmtId="0" fontId="0" fillId="0" borderId="16" xfId="0" applyBorder="1" applyAlignment="1">
      <alignment horizontal="left" vertical="top"/>
    </xf>
    <xf numFmtId="14" fontId="3" fillId="4" borderId="16" xfId="0" applyNumberFormat="1" applyFont="1" applyFill="1" applyBorder="1" applyAlignment="1">
      <alignment horizontal="center" vertical="center" wrapText="1"/>
    </xf>
    <xf numFmtId="0" fontId="3" fillId="11" borderId="27" xfId="0" applyFont="1" applyFill="1" applyBorder="1" applyAlignment="1">
      <alignment horizontal="center" vertical="center"/>
    </xf>
    <xf numFmtId="0" fontId="3" fillId="12" borderId="16" xfId="0" applyFont="1" applyFill="1" applyBorder="1" applyAlignment="1">
      <alignment horizontal="center" vertical="center"/>
    </xf>
    <xf numFmtId="0" fontId="3" fillId="12" borderId="41" xfId="0" applyFont="1" applyFill="1" applyBorder="1" applyAlignment="1">
      <alignment horizontal="center" vertical="center"/>
    </xf>
    <xf numFmtId="0" fontId="3" fillId="11" borderId="47" xfId="0" applyFont="1" applyFill="1" applyBorder="1" applyAlignment="1">
      <alignment horizontal="center" vertical="center"/>
    </xf>
    <xf numFmtId="0" fontId="3" fillId="11" borderId="3" xfId="0" applyFont="1" applyFill="1" applyBorder="1" applyAlignment="1">
      <alignment horizontal="center" vertical="center"/>
    </xf>
    <xf numFmtId="0" fontId="3" fillId="12" borderId="4" xfId="0" applyFont="1" applyFill="1" applyBorder="1" applyAlignment="1">
      <alignment horizontal="center" vertical="center"/>
    </xf>
    <xf numFmtId="0" fontId="3" fillId="4" borderId="1" xfId="0" applyFont="1" applyFill="1" applyBorder="1" applyAlignment="1">
      <alignment horizontal="center" vertical="center"/>
    </xf>
    <xf numFmtId="0" fontId="3" fillId="11" borderId="4" xfId="0" applyFont="1" applyFill="1" applyBorder="1" applyAlignment="1">
      <alignment horizontal="center" vertical="center"/>
    </xf>
    <xf numFmtId="0" fontId="3" fillId="11"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21" xfId="0" applyFont="1" applyBorder="1" applyAlignment="1">
      <alignment horizontal="center"/>
    </xf>
    <xf numFmtId="0" fontId="2" fillId="4" borderId="5"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9" xfId="0" applyFont="1" applyFill="1" applyBorder="1" applyAlignment="1">
      <alignment horizontal="center" vertical="center"/>
    </xf>
    <xf numFmtId="0" fontId="2" fillId="5" borderId="5" xfId="0" applyFont="1" applyFill="1" applyBorder="1" applyAlignment="1">
      <alignment horizontal="center" vertical="center"/>
    </xf>
    <xf numFmtId="0" fontId="2" fillId="5" borderId="8" xfId="0" applyFont="1" applyFill="1" applyBorder="1" applyAlignment="1">
      <alignment horizontal="center" vertical="center"/>
    </xf>
    <xf numFmtId="0" fontId="2" fillId="5" borderId="9" xfId="0" applyFont="1" applyFill="1" applyBorder="1" applyAlignment="1">
      <alignment horizontal="center" vertical="center"/>
    </xf>
    <xf numFmtId="0" fontId="2" fillId="6" borderId="5" xfId="0" applyFont="1" applyFill="1" applyBorder="1" applyAlignment="1">
      <alignment horizontal="center" vertical="center"/>
    </xf>
    <xf numFmtId="0" fontId="2" fillId="6" borderId="8" xfId="0" applyFont="1" applyFill="1" applyBorder="1" applyAlignment="1">
      <alignment horizontal="center" vertical="center"/>
    </xf>
    <xf numFmtId="0" fontId="2" fillId="6" borderId="9" xfId="0" applyFont="1" applyFill="1" applyBorder="1" applyAlignment="1">
      <alignment horizontal="center" vertical="center"/>
    </xf>
    <xf numFmtId="0" fontId="2" fillId="7" borderId="5" xfId="0" applyFont="1" applyFill="1" applyBorder="1" applyAlignment="1">
      <alignment horizontal="center" vertical="center"/>
    </xf>
    <xf numFmtId="0" fontId="2" fillId="7" borderId="8" xfId="0" applyFont="1" applyFill="1" applyBorder="1" applyAlignment="1">
      <alignment horizontal="center" vertical="center"/>
    </xf>
    <xf numFmtId="0" fontId="2" fillId="7" borderId="9" xfId="0" applyFont="1" applyFill="1" applyBorder="1" applyAlignment="1">
      <alignment horizontal="center" vertical="center"/>
    </xf>
    <xf numFmtId="0" fontId="2" fillId="4" borderId="18" xfId="0" applyFont="1" applyFill="1" applyBorder="1" applyAlignment="1">
      <alignment horizontal="center" vertical="center" wrapText="1"/>
    </xf>
    <xf numFmtId="0" fontId="2" fillId="4" borderId="19" xfId="0" applyFont="1" applyFill="1" applyBorder="1" applyAlignment="1">
      <alignment horizontal="center" vertical="center"/>
    </xf>
    <xf numFmtId="0" fontId="2" fillId="4" borderId="20" xfId="0" applyFont="1" applyFill="1" applyBorder="1" applyAlignment="1">
      <alignment horizontal="center" vertical="center"/>
    </xf>
    <xf numFmtId="0" fontId="2" fillId="5" borderId="18" xfId="0" applyFont="1" applyFill="1" applyBorder="1" applyAlignment="1">
      <alignment horizontal="center" vertical="center" wrapText="1"/>
    </xf>
    <xf numFmtId="0" fontId="2" fillId="5" borderId="19" xfId="0" applyFont="1" applyFill="1" applyBorder="1" applyAlignment="1">
      <alignment horizontal="center" vertical="center"/>
    </xf>
    <xf numFmtId="0" fontId="2" fillId="5" borderId="0" xfId="0" applyFont="1" applyFill="1" applyAlignment="1">
      <alignment horizontal="center" vertical="center"/>
    </xf>
    <xf numFmtId="0" fontId="2" fillId="5" borderId="20" xfId="0" applyFont="1" applyFill="1" applyBorder="1" applyAlignment="1">
      <alignment horizontal="center" vertical="center"/>
    </xf>
    <xf numFmtId="0" fontId="2" fillId="6" borderId="18" xfId="0" applyFont="1" applyFill="1" applyBorder="1" applyAlignment="1">
      <alignment horizontal="center" vertical="center" wrapText="1"/>
    </xf>
    <xf numFmtId="0" fontId="2" fillId="6" borderId="0" xfId="0" applyFont="1" applyFill="1" applyAlignment="1">
      <alignment horizontal="center" vertical="center"/>
    </xf>
    <xf numFmtId="0" fontId="2" fillId="6" borderId="19" xfId="0" applyFont="1" applyFill="1" applyBorder="1" applyAlignment="1">
      <alignment horizontal="center" vertical="center"/>
    </xf>
    <xf numFmtId="0" fontId="2" fillId="6" borderId="23" xfId="0" applyFont="1" applyFill="1" applyBorder="1" applyAlignment="1">
      <alignment horizontal="center" vertical="center"/>
    </xf>
    <xf numFmtId="0" fontId="2" fillId="7" borderId="22" xfId="0" applyFont="1" applyFill="1" applyBorder="1" applyAlignment="1">
      <alignment horizontal="center" vertical="center" wrapText="1"/>
    </xf>
    <xf numFmtId="0" fontId="2" fillId="7" borderId="0" xfId="0" applyFont="1" applyFill="1" applyAlignment="1">
      <alignment horizontal="center" vertical="center"/>
    </xf>
    <xf numFmtId="0" fontId="2" fillId="7" borderId="19" xfId="0" applyFont="1" applyFill="1" applyBorder="1" applyAlignment="1">
      <alignment horizontal="center" vertical="center"/>
    </xf>
    <xf numFmtId="0" fontId="2" fillId="7" borderId="23" xfId="0" applyFont="1" applyFill="1" applyBorder="1" applyAlignment="1">
      <alignment horizontal="center" vertical="center"/>
    </xf>
    <xf numFmtId="0" fontId="3" fillId="0" borderId="1" xfId="0" applyFont="1" applyBorder="1" applyAlignment="1">
      <alignment horizontal="center" vertical="center"/>
    </xf>
    <xf numFmtId="0" fontId="4" fillId="0" borderId="0" xfId="0" applyFont="1" applyAlignment="1">
      <alignment horizontal="left"/>
    </xf>
    <xf numFmtId="0" fontId="2" fillId="6" borderId="20" xfId="0" applyFont="1" applyFill="1" applyBorder="1" applyAlignment="1">
      <alignment horizontal="center" vertical="center"/>
    </xf>
    <xf numFmtId="0" fontId="4" fillId="0" borderId="2" xfId="0" applyFont="1" applyBorder="1" applyAlignment="1">
      <alignment horizontal="center" vertical="center" wrapText="1"/>
    </xf>
    <xf numFmtId="0" fontId="4" fillId="0" borderId="26"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5" xfId="0" applyFont="1" applyBorder="1" applyAlignment="1">
      <alignment horizontal="center"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16" xfId="0" applyFont="1" applyBorder="1" applyAlignment="1">
      <alignment horizontal="center" vertical="center" wrapText="1"/>
    </xf>
    <xf numFmtId="0" fontId="4" fillId="0" borderId="26" xfId="0" applyFont="1" applyBorder="1" applyAlignment="1">
      <alignment horizontal="center" vertical="center"/>
    </xf>
    <xf numFmtId="0" fontId="4" fillId="0" borderId="42" xfId="0" applyFont="1" applyBorder="1" applyAlignment="1">
      <alignment horizontal="center" vertical="center"/>
    </xf>
    <xf numFmtId="0" fontId="4" fillId="0" borderId="30" xfId="0" applyFont="1" applyBorder="1" applyAlignment="1">
      <alignment horizontal="center" vertical="center" wrapText="1"/>
    </xf>
    <xf numFmtId="0" fontId="4" fillId="0" borderId="42" xfId="0" applyFont="1" applyBorder="1" applyAlignment="1">
      <alignment horizontal="center" vertical="center" wrapText="1"/>
    </xf>
    <xf numFmtId="0" fontId="3" fillId="3" borderId="1"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 xfId="0" applyFont="1" applyBorder="1" applyAlignment="1">
      <alignment horizontal="center" vertical="center" wrapText="1"/>
    </xf>
    <xf numFmtId="0" fontId="3" fillId="10" borderId="2" xfId="0" applyFont="1" applyFill="1" applyBorder="1" applyAlignment="1">
      <alignment horizontal="center" vertical="center"/>
    </xf>
    <xf numFmtId="0" fontId="3" fillId="10" borderId="4" xfId="0" applyFont="1" applyFill="1" applyBorder="1" applyAlignment="1">
      <alignment horizontal="center" vertical="center"/>
    </xf>
    <xf numFmtId="0" fontId="3" fillId="5" borderId="1" xfId="0" applyFont="1" applyFill="1" applyBorder="1" applyAlignment="1">
      <alignment horizontal="center" vertical="center"/>
    </xf>
    <xf numFmtId="0" fontId="3" fillId="10" borderId="3"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27" xfId="0" applyFont="1" applyFill="1" applyBorder="1" applyAlignment="1">
      <alignment horizontal="center" vertical="center"/>
    </xf>
    <xf numFmtId="0" fontId="3" fillId="10" borderId="27" xfId="0" applyFont="1" applyFill="1" applyBorder="1" applyAlignment="1">
      <alignment horizontal="center" vertical="center"/>
    </xf>
    <xf numFmtId="0" fontId="3" fillId="10" borderId="31" xfId="0" applyFont="1" applyFill="1" applyBorder="1" applyAlignment="1">
      <alignment horizontal="center" vertical="center"/>
    </xf>
    <xf numFmtId="0" fontId="3" fillId="3" borderId="4"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3" xfId="0" applyFont="1" applyFill="1" applyBorder="1" applyAlignment="1">
      <alignment horizontal="center" vertical="center"/>
    </xf>
    <xf numFmtId="0" fontId="3" fillId="4" borderId="4" xfId="0" applyFont="1" applyFill="1" applyBorder="1" applyAlignment="1">
      <alignment horizontal="center" vertical="center"/>
    </xf>
    <xf numFmtId="0" fontId="3" fillId="9" borderId="2" xfId="0" applyFont="1" applyFill="1" applyBorder="1" applyAlignment="1">
      <alignment horizontal="center" vertical="center"/>
    </xf>
    <xf numFmtId="0" fontId="3" fillId="9" borderId="3" xfId="0" applyFont="1" applyFill="1" applyBorder="1" applyAlignment="1">
      <alignment horizontal="center" vertical="center"/>
    </xf>
    <xf numFmtId="0" fontId="3" fillId="9" borderId="4" xfId="0" applyFont="1" applyFill="1" applyBorder="1" applyAlignment="1">
      <alignment horizontal="center" vertical="center"/>
    </xf>
    <xf numFmtId="0" fontId="3" fillId="9" borderId="1" xfId="0" applyFont="1" applyFill="1" applyBorder="1" applyAlignment="1">
      <alignment horizontal="center" vertical="center"/>
    </xf>
    <xf numFmtId="0" fontId="3" fillId="10" borderId="1" xfId="0" applyFont="1" applyFill="1" applyBorder="1" applyAlignment="1">
      <alignment horizontal="center" vertical="center"/>
    </xf>
    <xf numFmtId="0" fontId="3" fillId="11" borderId="2" xfId="0" applyFont="1" applyFill="1" applyBorder="1" applyAlignment="1">
      <alignment horizontal="center" vertical="center"/>
    </xf>
    <xf numFmtId="0" fontId="3" fillId="12" borderId="1" xfId="0" applyFont="1" applyFill="1" applyBorder="1" applyAlignment="1">
      <alignment horizontal="center" vertical="center"/>
    </xf>
    <xf numFmtId="0" fontId="16" fillId="0" borderId="35" xfId="0" applyFont="1" applyBorder="1" applyAlignment="1">
      <alignment horizontal="center" vertical="center"/>
    </xf>
    <xf numFmtId="0" fontId="13" fillId="20" borderId="16" xfId="0" applyFont="1" applyFill="1" applyBorder="1" applyAlignment="1">
      <alignment horizontal="center" vertical="center"/>
    </xf>
    <xf numFmtId="0" fontId="6" fillId="0" borderId="26" xfId="0" applyFont="1" applyBorder="1" applyAlignment="1">
      <alignment horizontal="center" vertical="center"/>
    </xf>
    <xf numFmtId="0" fontId="6" fillId="0" borderId="1" xfId="0" applyFont="1" applyBorder="1" applyAlignment="1">
      <alignment horizontal="center" vertical="center"/>
    </xf>
    <xf numFmtId="0" fontId="6" fillId="0" borderId="15" xfId="0" applyFont="1" applyBorder="1" applyAlignment="1">
      <alignment horizontal="center" vertical="center"/>
    </xf>
    <xf numFmtId="0" fontId="12" fillId="0" borderId="16" xfId="0" applyFont="1" applyBorder="1" applyAlignment="1">
      <alignment horizontal="center" vertical="center"/>
    </xf>
    <xf numFmtId="0" fontId="14" fillId="0" borderId="24" xfId="0" applyFont="1" applyBorder="1" applyAlignment="1">
      <alignment horizontal="center" vertical="center"/>
    </xf>
    <xf numFmtId="0" fontId="14" fillId="0" borderId="39" xfId="0" applyFont="1" applyBorder="1" applyAlignment="1">
      <alignment horizontal="center" vertical="center"/>
    </xf>
    <xf numFmtId="0" fontId="3" fillId="0" borderId="46" xfId="0" applyFont="1" applyBorder="1" applyAlignment="1">
      <alignment horizontal="center"/>
    </xf>
    <xf numFmtId="0" fontId="17" fillId="0" borderId="24" xfId="0" applyFont="1" applyBorder="1" applyAlignment="1">
      <alignment horizontal="center" vertical="center"/>
    </xf>
    <xf numFmtId="0" fontId="17" fillId="0" borderId="45" xfId="0" applyFont="1" applyBorder="1" applyAlignment="1">
      <alignment horizontal="center" vertical="center"/>
    </xf>
    <xf numFmtId="0" fontId="17" fillId="0" borderId="39" xfId="0" applyFont="1" applyBorder="1" applyAlignment="1">
      <alignment horizontal="center" vertical="center"/>
    </xf>
    <xf numFmtId="0" fontId="2" fillId="0" borderId="0" xfId="0" applyFont="1" applyAlignment="1">
      <alignment horizontal="center"/>
    </xf>
    <xf numFmtId="0" fontId="11" fillId="0" borderId="24" xfId="0" applyFont="1" applyBorder="1" applyAlignment="1">
      <alignment horizontal="center" vertical="center"/>
    </xf>
    <xf numFmtId="0" fontId="11" fillId="0" borderId="39" xfId="0" applyFont="1" applyBorder="1" applyAlignment="1">
      <alignment horizontal="center" vertical="center"/>
    </xf>
    <xf numFmtId="0" fontId="12" fillId="0" borderId="24" xfId="0" applyFont="1" applyBorder="1" applyAlignment="1">
      <alignment horizontal="center" vertical="center"/>
    </xf>
    <xf numFmtId="0" fontId="12" fillId="0" borderId="39" xfId="0" applyFont="1" applyBorder="1" applyAlignment="1">
      <alignment horizontal="center" vertical="center"/>
    </xf>
    <xf numFmtId="0" fontId="0" fillId="0" borderId="29" xfId="0" applyBorder="1" applyAlignment="1">
      <alignment horizontal="center"/>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CCC0DA"/>
      <color rgb="FFDDD9C4"/>
      <color rgb="FFEBF1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'Total count'!$J$10</c:f>
              <c:strCache>
                <c:ptCount val="1"/>
                <c:pt idx="0">
                  <c:v>Full-Time (FT)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count'!$I$11:$I$13</c:f>
              <c:strCache>
                <c:ptCount val="3"/>
                <c:pt idx="0">
                  <c:v>JJ</c:v>
                </c:pt>
                <c:pt idx="1">
                  <c:v>Kamal</c:v>
                </c:pt>
                <c:pt idx="2">
                  <c:v>Mahesh</c:v>
                </c:pt>
              </c:strCache>
            </c:strRef>
          </c:cat>
          <c:val>
            <c:numRef>
              <c:f>'Total count'!$J$11:$J$13</c:f>
              <c:numCache>
                <c:formatCode>General</c:formatCode>
                <c:ptCount val="3"/>
                <c:pt idx="0">
                  <c:v>21</c:v>
                </c:pt>
                <c:pt idx="1">
                  <c:v>15</c:v>
                </c:pt>
                <c:pt idx="2">
                  <c:v>4</c:v>
                </c:pt>
              </c:numCache>
            </c:numRef>
          </c:val>
          <c:extLst>
            <c:ext xmlns:c16="http://schemas.microsoft.com/office/drawing/2014/chart" uri="{C3380CC4-5D6E-409C-BE32-E72D297353CC}">
              <c16:uniqueId val="{00000000-8FC4-4E60-8CDE-5978FD9C07D5}"/>
            </c:ext>
          </c:extLst>
        </c:ser>
        <c:ser>
          <c:idx val="1"/>
          <c:order val="1"/>
          <c:tx>
            <c:strRef>
              <c:f>'Total count'!$K$10</c:f>
              <c:strCache>
                <c:ptCount val="1"/>
                <c:pt idx="0">
                  <c:v>Contractors (Cont)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count'!$I$11:$I$13</c:f>
              <c:strCache>
                <c:ptCount val="3"/>
                <c:pt idx="0">
                  <c:v>JJ</c:v>
                </c:pt>
                <c:pt idx="1">
                  <c:v>Kamal</c:v>
                </c:pt>
                <c:pt idx="2">
                  <c:v>Mahesh</c:v>
                </c:pt>
              </c:strCache>
            </c:strRef>
          </c:cat>
          <c:val>
            <c:numRef>
              <c:f>'Total count'!$K$11:$K$13</c:f>
              <c:numCache>
                <c:formatCode>General</c:formatCode>
                <c:ptCount val="3"/>
                <c:pt idx="0">
                  <c:v>28</c:v>
                </c:pt>
                <c:pt idx="1">
                  <c:v>10</c:v>
                </c:pt>
                <c:pt idx="2">
                  <c:v>0</c:v>
                </c:pt>
              </c:numCache>
            </c:numRef>
          </c:val>
          <c:extLst>
            <c:ext xmlns:c16="http://schemas.microsoft.com/office/drawing/2014/chart" uri="{C3380CC4-5D6E-409C-BE32-E72D297353CC}">
              <c16:uniqueId val="{00000002-8FC4-4E60-8CDE-5978FD9C07D5}"/>
            </c:ext>
          </c:extLst>
        </c:ser>
        <c:dLbls>
          <c:showLegendKey val="0"/>
          <c:showVal val="0"/>
          <c:showCatName val="0"/>
          <c:showSerName val="0"/>
          <c:showPercent val="0"/>
          <c:showBubbleSize val="0"/>
        </c:dLbls>
        <c:gapWidth val="182"/>
        <c:axId val="537634824"/>
        <c:axId val="615479304"/>
      </c:barChart>
      <c:catAx>
        <c:axId val="537634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479304"/>
        <c:crosses val="autoZero"/>
        <c:auto val="1"/>
        <c:lblAlgn val="ctr"/>
        <c:lblOffset val="100"/>
        <c:noMultiLvlLbl val="0"/>
      </c:catAx>
      <c:valAx>
        <c:axId val="615479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6348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327025</xdr:colOff>
      <xdr:row>14</xdr:row>
      <xdr:rowOff>200025</xdr:rowOff>
    </xdr:from>
    <xdr:to>
      <xdr:col>13</xdr:col>
      <xdr:colOff>307975</xdr:colOff>
      <xdr:row>25</xdr:row>
      <xdr:rowOff>285750</xdr:rowOff>
    </xdr:to>
    <xdr:graphicFrame macro="">
      <xdr:nvGraphicFramePr>
        <xdr:cNvPr id="23" name="Chart 4">
          <a:extLst>
            <a:ext uri="{FF2B5EF4-FFF2-40B4-BE49-F238E27FC236}">
              <a16:creationId xmlns:a16="http://schemas.microsoft.com/office/drawing/2014/main" id="{D669FCDE-E452-7136-65F9-D3BF43D5AD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161925</xdr:colOff>
      <xdr:row>1</xdr:row>
      <xdr:rowOff>133350</xdr:rowOff>
    </xdr:from>
    <xdr:to>
      <xdr:col>17</xdr:col>
      <xdr:colOff>342900</xdr:colOff>
      <xdr:row>26</xdr:row>
      <xdr:rowOff>133350</xdr:rowOff>
    </xdr:to>
    <mc:AlternateContent xmlns:mc="http://schemas.openxmlformats.org/markup-compatibility/2006" xmlns:a14="http://schemas.microsoft.com/office/drawing/2010/main">
      <mc:Choice Requires="a14">
        <xdr:graphicFrame macro="">
          <xdr:nvGraphicFramePr>
            <xdr:cNvPr id="5" name="Team">
              <a:extLst>
                <a:ext uri="{FF2B5EF4-FFF2-40B4-BE49-F238E27FC236}">
                  <a16:creationId xmlns:a16="http://schemas.microsoft.com/office/drawing/2014/main" id="{901A2646-1A8E-77F7-1943-22346E1CC765}"/>
                </a:ext>
              </a:extLst>
            </xdr:cNvPr>
            <xdr:cNvGraphicFramePr/>
          </xdr:nvGraphicFramePr>
          <xdr:xfrm>
            <a:off x="0" y="0"/>
            <a:ext cx="0" cy="0"/>
          </xdr:xfrm>
          <a:graphic>
            <a:graphicData uri="http://schemas.microsoft.com/office/drawing/2010/slicer">
              <sle:slicer xmlns:sle="http://schemas.microsoft.com/office/drawing/2010/slicer" name="Team"/>
            </a:graphicData>
          </a:graphic>
        </xdr:graphicFrame>
      </mc:Choice>
      <mc:Fallback xmlns="">
        <xdr:sp macro="" textlink="">
          <xdr:nvSpPr>
            <xdr:cNvPr id="0" name=""/>
            <xdr:cNvSpPr>
              <a:spLocks noTextEdit="1"/>
            </xdr:cNvSpPr>
          </xdr:nvSpPr>
          <xdr:spPr>
            <a:xfrm>
              <a:off x="6353175" y="323850"/>
              <a:ext cx="4857750" cy="476250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20</xdr:col>
      <xdr:colOff>466725</xdr:colOff>
      <xdr:row>13</xdr:row>
      <xdr:rowOff>95250</xdr:rowOff>
    </xdr:from>
    <xdr:to>
      <xdr:col>23</xdr:col>
      <xdr:colOff>161925</xdr:colOff>
      <xdr:row>27</xdr:row>
      <xdr:rowOff>66675</xdr:rowOff>
    </xdr:to>
    <mc:AlternateContent xmlns:mc="http://schemas.openxmlformats.org/markup-compatibility/2006" xmlns:a14="http://schemas.microsoft.com/office/drawing/2010/main">
      <mc:Choice Requires="a14">
        <xdr:graphicFrame macro="">
          <xdr:nvGraphicFramePr>
            <xdr:cNvPr id="3" name="Employment">
              <a:extLst>
                <a:ext uri="{FF2B5EF4-FFF2-40B4-BE49-F238E27FC236}">
                  <a16:creationId xmlns:a16="http://schemas.microsoft.com/office/drawing/2014/main" id="{7F4B99B1-0A97-EF12-697B-659A76B8B87A}"/>
                </a:ext>
                <a:ext uri="{147F2762-F138-4A5C-976F-8EAC2B608ADB}">
                  <a16:predDERef xmlns:a16="http://schemas.microsoft.com/office/drawing/2014/main" pred="{901A2646-1A8E-77F7-1943-22346E1CC765}"/>
                </a:ext>
              </a:extLst>
            </xdr:cNvPr>
            <xdr:cNvGraphicFramePr/>
          </xdr:nvGraphicFramePr>
          <xdr:xfrm>
            <a:off x="0" y="0"/>
            <a:ext cx="0" cy="0"/>
          </xdr:xfrm>
          <a:graphic>
            <a:graphicData uri="http://schemas.microsoft.com/office/drawing/2010/slicer">
              <sle:slicer xmlns:sle="http://schemas.microsoft.com/office/drawing/2010/slicer" name="Employment"/>
            </a:graphicData>
          </a:graphic>
        </xdr:graphicFrame>
      </mc:Choice>
      <mc:Fallback xmlns="">
        <xdr:sp macro="" textlink="">
          <xdr:nvSpPr>
            <xdr:cNvPr id="0" name=""/>
            <xdr:cNvSpPr>
              <a:spLocks noTextEdit="1"/>
            </xdr:cNvSpPr>
          </xdr:nvSpPr>
          <xdr:spPr>
            <a:xfrm>
              <a:off x="13011150" y="257175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JJ View" id="{55066E2F-7C3F-E942-8868-DAE6F57D6CCD}">
    <nsvFilter filterId="{00000000-0001-0000-0000-000000000000}" ref="A1:K100" tableId="0">
      <columnFilter colId="3">
        <filter colId="3">
          <x:filters>
            <x:filter val="Contractor"/>
          </x:filters>
        </filter>
      </columnFilter>
    </nsvFilter>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JJ View" id="{A4BFB8E9-AA91-9548-8C1F-A695FB2D0874}">
    <nsvFilter filterId="{723634B7-AEA8-EB4C-9140-879E0E3D0633}" ref="A1:M80" tableId="0">
      <columnFilter colId="3">
        <filter colId="3">
          <x:filters>
            <x:filter val="Contractor"/>
          </x:filters>
        </filter>
      </columnFilter>
    </nsvFilter>
  </namedSheetView>
</namedSheetViews>
</file>

<file path=xl/persons/person.xml><?xml version="1.0" encoding="utf-8"?>
<personList xmlns="http://schemas.microsoft.com/office/spreadsheetml/2018/threadedcomments" xmlns:x="http://schemas.openxmlformats.org/spreadsheetml/2006/main">
  <person displayName="Jagjit Singh" id="{CBFAAD39-2E2F-0841-993C-10AFFD81C1CC}" userId="jagjit.singh@on24.com" providerId="PeoplePicker"/>
  <person displayName="Kashan Babar" id="{504188AE-5B7E-4A88-AC1D-AB87C505B1B4}" userId="kashan.babar@on24.com" providerId="PeoplePicker"/>
  <person displayName="Jaimini Joshi" id="{3555D7C9-DDFC-7E4E-A79F-F676A77DA3C4}" userId="jaimini.joshi@on24.com" providerId="PeoplePicker"/>
  <person displayName="Kashan Babar" id="{7BDD6B96-59F8-494A-B556-5733C82ADC9E}" userId="S::kashan.babar@on24.com::1dfdcc9b-7524-4000-b102-324faeaddbad" providerId="AD"/>
  <person displayName="Jaimini Joshi" id="{F40F906F-E828-460C-88DC-43B3305F6B58}" userId="S::jaimini.joshi@on24.com::b58743ab-6529-4580-9ecd-5b60b686f51a"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72.430072222225" createdVersion="8" refreshedVersion="8" minRefreshableVersion="3" recordCount="80" xr:uid="{BD582F72-FFA5-4A81-986A-CFFE1FE8E419}">
  <cacheSource type="worksheet">
    <worksheetSource ref="A1:F80" sheet="Full Dev Org"/>
  </cacheSource>
  <cacheFields count="4">
    <cacheField name="Reports To" numFmtId="0">
      <sharedItems containsBlank="1"/>
    </cacheField>
    <cacheField name="Name" numFmtId="0">
      <sharedItems containsBlank="1"/>
    </cacheField>
    <cacheField name="Employment" numFmtId="0">
      <sharedItems containsBlank="1" count="3">
        <s v="Full Time"/>
        <s v="Contractor"/>
        <m/>
      </sharedItems>
    </cacheField>
    <cacheField name="Team" numFmtId="0">
      <sharedItems containsBlank="1" count="21">
        <s v="Salesforce"/>
        <s v="Vids/forums"/>
        <s v="AI/Analytics/Integrations"/>
        <s v="Analytics"/>
        <s v="Ehub"/>
        <s v="Cloud"/>
        <s v="Tools"/>
        <s v="GL"/>
        <s v="Vids"/>
        <s v="Contractor"/>
        <s v="Integrations"/>
        <s v="AI"/>
        <s v="AI/Integrations"/>
        <s v="Engg Support"/>
        <m/>
        <s v="EER/GL"/>
        <s v="Console/ES"/>
        <s v="EER"/>
        <s v="ES"/>
        <s v="Console"/>
        <s v="AppGen"/>
      </sharedItems>
    </cacheField>
  </cacheFields>
  <extLst>
    <ext xmlns:x14="http://schemas.microsoft.com/office/spreadsheetml/2009/9/main" uri="{725AE2AE-9491-48be-B2B4-4EB974FC3084}">
      <x14:pivotCacheDefinition pivotCacheId="41271021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72.431421180554" createdVersion="8" refreshedVersion="8" minRefreshableVersion="3" recordCount="98" xr:uid="{0F3FDD07-06AD-497C-802D-E7AE6A4235CA}">
  <cacheSource type="worksheet">
    <worksheetSource ref="A1:E99" sheet="Full QA Org"/>
  </cacheSource>
  <cacheFields count="5">
    <cacheField name="Reports To" numFmtId="0">
      <sharedItems containsBlank="1"/>
    </cacheField>
    <cacheField name="Name" numFmtId="0">
      <sharedItems/>
    </cacheField>
    <cacheField name="Title" numFmtId="0">
      <sharedItems/>
    </cacheField>
    <cacheField name="Employment" numFmtId="0">
      <sharedItems count="2">
        <s v="Contractor"/>
        <s v="Full Time"/>
      </sharedItems>
    </cacheField>
    <cacheField name="Teams" numFmtId="0">
      <sharedItems count="29">
        <s v="Automation"/>
        <s v="Dir"/>
        <s v="P10Console"/>
        <s v="P10-Console Forums"/>
        <s v="P10Console Forums"/>
        <s v="P10Console/Forums/Vids-Vibbio"/>
        <s v="P10Console Forums-40% Vids-Vibbio-60% "/>
        <s v="P10Console Forums-60% Vids-Vibbio-40% "/>
        <s v="VC 10% &amp; Ehub 90%"/>
        <s v="Ehub"/>
        <s v="goLive"/>
        <s v="VC 20% &amp; GoLive 70%"/>
        <s v="VC 90% &amp; goLive 10%"/>
        <s v="VC 40% &amp; Ehub 60%"/>
        <s v="Presenter"/>
        <s v="Eng Tools"/>
        <s v="Integrations"/>
        <s v="Elite Admin"/>
        <s v="Analytics"/>
        <s v="Analytics -Segmentation"/>
        <s v="Elite Admin/AI"/>
        <s v="Elite Studio"/>
        <s v="Elite Studio/Forums"/>
        <s v="Elite Studio/Eng Tools"/>
        <s v="Analytics-Segmentation"/>
        <s v="Elite studio Forums"/>
        <s v="Eng Tools /ES Forums"/>
        <s v="Elite Admin/Elite Admin forums"/>
        <s v="AI"/>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s v="Mahesh Kheny"/>
    <s v="Homer Santos"/>
    <x v="0"/>
    <x v="0"/>
  </r>
  <r>
    <s v="Homer Santos"/>
    <s v="James Gomez"/>
    <x v="0"/>
    <x v="0"/>
  </r>
  <r>
    <m/>
    <s v="Raj Kommera"/>
    <x v="0"/>
    <x v="0"/>
  </r>
  <r>
    <s v="Jaimini Joshi"/>
    <s v="Shishir Pokharel"/>
    <x v="0"/>
    <x v="1"/>
  </r>
  <r>
    <m/>
    <s v="Angel Palomino Heras"/>
    <x v="0"/>
    <x v="2"/>
  </r>
  <r>
    <m/>
    <s v="Alberto Perez Galiano"/>
    <x v="0"/>
    <x v="3"/>
  </r>
  <r>
    <m/>
    <s v="Nataraja Prabhakara"/>
    <x v="0"/>
    <x v="4"/>
  </r>
  <r>
    <m/>
    <s v="Pratap Kumar"/>
    <x v="0"/>
    <x v="5"/>
  </r>
  <r>
    <m/>
    <s v="Francisco Neto"/>
    <x v="0"/>
    <x v="6"/>
  </r>
  <r>
    <m/>
    <s v="Venubabu Innamuri"/>
    <x v="0"/>
    <x v="7"/>
  </r>
  <r>
    <s v="Shishir Pokharel"/>
    <s v="Alejandro Castera"/>
    <x v="1"/>
    <x v="8"/>
  </r>
  <r>
    <m/>
    <s v="C-Tasso Ruas"/>
    <x v="1"/>
    <x v="1"/>
  </r>
  <r>
    <m/>
    <s v="Cobin Dopkeen"/>
    <x v="0"/>
    <x v="1"/>
  </r>
  <r>
    <m/>
    <s v="C-Lucas Girard"/>
    <x v="1"/>
    <x v="1"/>
  </r>
  <r>
    <m/>
    <s v="c-Jesus Díaz"/>
    <x v="1"/>
    <x v="1"/>
  </r>
  <r>
    <m/>
    <s v="C-Ankit Jain"/>
    <x v="1"/>
    <x v="9"/>
  </r>
  <r>
    <m/>
    <s v="Felipe Ferreira"/>
    <x v="1"/>
    <x v="9"/>
  </r>
  <r>
    <m/>
    <s v="Randall Dryburgh"/>
    <x v="0"/>
    <x v="1"/>
  </r>
  <r>
    <m/>
    <s v="Cheng-Kai Huang"/>
    <x v="0"/>
    <x v="1"/>
  </r>
  <r>
    <s v="Cobin Dopkeen"/>
    <s v="c-Alejo Pereyra"/>
    <x v="1"/>
    <x v="1"/>
  </r>
  <r>
    <m/>
    <s v="Jose Viscasillas"/>
    <x v="0"/>
    <x v="1"/>
  </r>
  <r>
    <m/>
    <s v="Dan Homerick"/>
    <x v="0"/>
    <x v="1"/>
  </r>
  <r>
    <s v="Alberto"/>
    <s v="Mario Martinez"/>
    <x v="1"/>
    <x v="3"/>
  </r>
  <r>
    <m/>
    <s v="c-Ramesh Balak"/>
    <x v="1"/>
    <x v="3"/>
  </r>
  <r>
    <m/>
    <s v="C-Alejandro Varon"/>
    <x v="1"/>
    <x v="3"/>
  </r>
  <r>
    <m/>
    <s v="C-Juan Gomez"/>
    <x v="1"/>
    <x v="3"/>
  </r>
  <r>
    <m/>
    <s v="Pedro Hernandez"/>
    <x v="1"/>
    <x v="3"/>
  </r>
  <r>
    <s v="Nataraja Prabhakara"/>
    <s v="Juan Bernardez Pazo"/>
    <x v="0"/>
    <x v="4"/>
  </r>
  <r>
    <m/>
    <s v="C-Gregory Padron"/>
    <x v="1"/>
    <x v="4"/>
  </r>
  <r>
    <m/>
    <s v="C-Jonathan Perez"/>
    <x v="1"/>
    <x v="4"/>
  </r>
  <r>
    <m/>
    <s v="Mayur Khadke"/>
    <x v="0"/>
    <x v="4"/>
  </r>
  <r>
    <s v="Juan Bernardez Pazo"/>
    <s v="Jhon Nova"/>
    <x v="1"/>
    <x v="4"/>
  </r>
  <r>
    <s v="Angel Palomino Heras"/>
    <s v="C-Camilo Lopez"/>
    <x v="1"/>
    <x v="10"/>
  </r>
  <r>
    <m/>
    <s v="C-Rajesh Patel"/>
    <x v="1"/>
    <x v="10"/>
  </r>
  <r>
    <m/>
    <s v="C-Carlos Montoya"/>
    <x v="1"/>
    <x v="11"/>
  </r>
  <r>
    <m/>
    <s v="Parag Sanghvi"/>
    <x v="0"/>
    <x v="12"/>
  </r>
  <r>
    <m/>
    <s v="Alejandro Osorio"/>
    <x v="1"/>
    <x v="11"/>
  </r>
  <r>
    <m/>
    <s v="C-Harsh Panot"/>
    <x v="1"/>
    <x v="0"/>
  </r>
  <r>
    <m/>
    <s v="Javier Vargas"/>
    <x v="1"/>
    <x v="10"/>
  </r>
  <r>
    <m/>
    <s v="C-Oscar Ospina"/>
    <x v="1"/>
    <x v="10"/>
  </r>
  <r>
    <m/>
    <s v="Jairo Diaz"/>
    <x v="1"/>
    <x v="11"/>
  </r>
  <r>
    <m/>
    <s v="Ben Kinard"/>
    <x v="0"/>
    <x v="11"/>
  </r>
  <r>
    <s v="Pratap Kumar"/>
    <s v="Abdulla Rubaid"/>
    <x v="0"/>
    <x v="5"/>
  </r>
  <r>
    <m/>
    <s v="Praveen Gampala"/>
    <x v="0"/>
    <x v="5"/>
  </r>
  <r>
    <s v="Praveen Gampala"/>
    <s v="C-Marco Ruiz"/>
    <x v="1"/>
    <x v="5"/>
  </r>
  <r>
    <m/>
    <s v="Lee Lopez"/>
    <x v="1"/>
    <x v="5"/>
  </r>
  <r>
    <m/>
    <s v="Chengyang Liu"/>
    <x v="0"/>
    <x v="5"/>
  </r>
  <r>
    <m/>
    <s v="c-Jean Cristancho"/>
    <x v="1"/>
    <x v="5"/>
  </r>
  <r>
    <m/>
    <s v="C-Gopal Singh"/>
    <x v="1"/>
    <x v="5"/>
  </r>
  <r>
    <s v="Francisco Neto"/>
    <s v="Ammar Khan"/>
    <x v="0"/>
    <x v="6"/>
  </r>
  <r>
    <m/>
    <s v="c-Cesar Roque"/>
    <x v="1"/>
    <x v="13"/>
  </r>
  <r>
    <m/>
    <s v="Purna Sangem"/>
    <x v="0"/>
    <x v="13"/>
  </r>
  <r>
    <m/>
    <m/>
    <x v="2"/>
    <x v="14"/>
  </r>
  <r>
    <s v="Kamal"/>
    <s v="Rajesh Walter"/>
    <x v="0"/>
    <x v="14"/>
  </r>
  <r>
    <m/>
    <s v="Mayank Gupta"/>
    <x v="0"/>
    <x v="15"/>
  </r>
  <r>
    <m/>
    <s v="Piyush Punjak"/>
    <x v="0"/>
    <x v="16"/>
  </r>
  <r>
    <s v="Mayank Gupta"/>
    <s v="C-Rodrigo Laporte"/>
    <x v="1"/>
    <x v="17"/>
  </r>
  <r>
    <m/>
    <m/>
    <x v="2"/>
    <x v="14"/>
  </r>
  <r>
    <m/>
    <s v="Avi Roig"/>
    <x v="0"/>
    <x v="17"/>
  </r>
  <r>
    <m/>
    <s v="Shabna Shaik"/>
    <x v="0"/>
    <x v="17"/>
  </r>
  <r>
    <m/>
    <s v="C-Jonathan Arcila"/>
    <x v="1"/>
    <x v="17"/>
  </r>
  <r>
    <m/>
    <s v="Himanshu Patel"/>
    <x v="0"/>
    <x v="17"/>
  </r>
  <r>
    <m/>
    <s v="Luke Wage"/>
    <x v="0"/>
    <x v="17"/>
  </r>
  <r>
    <m/>
    <s v="c-Javier Stifano"/>
    <x v="1"/>
    <x v="7"/>
  </r>
  <r>
    <m/>
    <s v="c-Islam Mohammed"/>
    <x v="1"/>
    <x v="7"/>
  </r>
  <r>
    <m/>
    <s v="Shuang Wu"/>
    <x v="0"/>
    <x v="7"/>
  </r>
  <r>
    <s v="Piyush Punjak"/>
    <s v="Kaleem Khan"/>
    <x v="0"/>
    <x v="18"/>
  </r>
  <r>
    <m/>
    <s v="Nnouka Stephen"/>
    <x v="1"/>
    <x v="18"/>
  </r>
  <r>
    <m/>
    <s v="Ajay Pawar"/>
    <x v="0"/>
    <x v="19"/>
  </r>
  <r>
    <m/>
    <s v="Pritish Kumar Dwibedi"/>
    <x v="0"/>
    <x v="19"/>
  </r>
  <r>
    <m/>
    <s v="Rajesh Kumar"/>
    <x v="0"/>
    <x v="18"/>
  </r>
  <r>
    <m/>
    <s v="Diego Gonzalez"/>
    <x v="1"/>
    <x v="19"/>
  </r>
  <r>
    <m/>
    <s v="Jonathan Gil"/>
    <x v="1"/>
    <x v="18"/>
  </r>
  <r>
    <m/>
    <s v="Shwetha Nimmala"/>
    <x v="0"/>
    <x v="19"/>
  </r>
  <r>
    <m/>
    <s v="C-Santiago Mejia"/>
    <x v="1"/>
    <x v="19"/>
  </r>
  <r>
    <m/>
    <s v="Jay Sunga"/>
    <x v="0"/>
    <x v="18"/>
  </r>
  <r>
    <m/>
    <s v="Swati Shaw"/>
    <x v="0"/>
    <x v="20"/>
  </r>
  <r>
    <m/>
    <s v="Amber Mahajan"/>
    <x v="1"/>
    <x v="19"/>
  </r>
  <r>
    <m/>
    <s v="Juan David Aragon"/>
    <x v="1"/>
    <x v="19"/>
  </r>
  <r>
    <s v="Swati Shaw"/>
    <s v="Chandrakant Bagewadi"/>
    <x v="0"/>
    <x v="2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
  <r>
    <s v="Oleg Massakovskyy"/>
    <s v="C-Hari Prasad"/>
    <s v="Contractor – QA Automation"/>
    <x v="0"/>
    <x v="0"/>
  </r>
  <r>
    <m/>
    <s v="Rumana Ilyas"/>
    <s v="Director, QA"/>
    <x v="1"/>
    <x v="1"/>
  </r>
  <r>
    <m/>
    <s v="Jenny Wai Li"/>
    <s v="Senior Director, QA"/>
    <x v="1"/>
    <x v="1"/>
  </r>
  <r>
    <m/>
    <s v="Shefali Singh"/>
    <s v="Senior Director, QA"/>
    <x v="1"/>
    <x v="1"/>
  </r>
  <r>
    <m/>
    <s v="C-Divya Kag"/>
    <s v="Contractor – QA Automation"/>
    <x v="0"/>
    <x v="0"/>
  </r>
  <r>
    <m/>
    <s v="Ashish Oza"/>
    <s v="Contractor – Director, QA"/>
    <x v="0"/>
    <x v="1"/>
  </r>
  <r>
    <m/>
    <s v="C-Nikhil Bornare"/>
    <s v="Contractor – QA Engineer"/>
    <x v="0"/>
    <x v="0"/>
  </r>
  <r>
    <m/>
    <s v="C-Mohit Talera"/>
    <s v="Contractor – QA Automation"/>
    <x v="0"/>
    <x v="0"/>
  </r>
  <r>
    <m/>
    <s v="Manak Choyal"/>
    <s v="Contractor – Lead QA Automation"/>
    <x v="0"/>
    <x v="0"/>
  </r>
  <r>
    <m/>
    <s v="C-Chetan Kushwah"/>
    <s v="Contractor – QA Automation"/>
    <x v="0"/>
    <x v="0"/>
  </r>
  <r>
    <m/>
    <s v="Sumeet Patidar"/>
    <s v="Contractor – QA Automation"/>
    <x v="0"/>
    <x v="0"/>
  </r>
  <r>
    <m/>
    <s v="Vaishali Jaiswal"/>
    <s v="Contractor – QA Automation"/>
    <x v="0"/>
    <x v="0"/>
  </r>
  <r>
    <m/>
    <s v="C-Srijan Parihar"/>
    <s v="Contractor – QA"/>
    <x v="0"/>
    <x v="0"/>
  </r>
  <r>
    <m/>
    <s v="C-Kumar Saurabh"/>
    <s v="Contractor – QA Automation"/>
    <x v="0"/>
    <x v="0"/>
  </r>
  <r>
    <s v="Rumana Ilyas"/>
    <s v="C-Abhishek Tanwar"/>
    <s v="Contractor (QA)"/>
    <x v="0"/>
    <x v="2"/>
  </r>
  <r>
    <m/>
    <s v="C-Surbhi Porwal"/>
    <s v="QA Engineer (InfoHorizon)"/>
    <x v="0"/>
    <x v="3"/>
  </r>
  <r>
    <m/>
    <s v="Prakash Mandwal"/>
    <s v="Contractor – Sr. QA Engineer"/>
    <x v="0"/>
    <x v="2"/>
  </r>
  <r>
    <m/>
    <s v="C-Gargeya Borgaonkar"/>
    <s v="Contractor – QA Engineer"/>
    <x v="0"/>
    <x v="4"/>
  </r>
  <r>
    <m/>
    <s v="Manjeet Singh"/>
    <s v="Contractor – Sr. QA Engineer"/>
    <x v="0"/>
    <x v="5"/>
  </r>
  <r>
    <m/>
    <s v="Rahul Yadav"/>
    <s v="Contractor – QA Engineer"/>
    <x v="0"/>
    <x v="3"/>
  </r>
  <r>
    <m/>
    <s v="Priyanka Jain"/>
    <s v="Contractor – QA Engineer"/>
    <x v="0"/>
    <x v="2"/>
  </r>
  <r>
    <m/>
    <s v="Vimala Gandham"/>
    <s v="Senior Lead QA Engineer"/>
    <x v="1"/>
    <x v="2"/>
  </r>
  <r>
    <m/>
    <s v="C-Tushar Gaurawat"/>
    <s v="Contractor – QA Engineer"/>
    <x v="0"/>
    <x v="4"/>
  </r>
  <r>
    <m/>
    <s v="Alumelu Govindareddy"/>
    <s v="Senior QA Engineer"/>
    <x v="1"/>
    <x v="2"/>
  </r>
  <r>
    <m/>
    <s v="C-Mohini Verma"/>
    <s v="Contractor (QA Engineer)"/>
    <x v="0"/>
    <x v="2"/>
  </r>
  <r>
    <m/>
    <s v="C-Yashdeep Singh"/>
    <s v="Contractor (QA)"/>
    <x v="0"/>
    <x v="2"/>
  </r>
  <r>
    <m/>
    <s v="Abhijeet Joshi"/>
    <s v="Contractor – QA Engineer"/>
    <x v="0"/>
    <x v="6"/>
  </r>
  <r>
    <m/>
    <s v="Nurlan Shukurlu"/>
    <s v="Senior QA Engineer"/>
    <x v="1"/>
    <x v="4"/>
  </r>
  <r>
    <m/>
    <s v="C-Ashwijt Khaire"/>
    <s v="Contractor (QA)"/>
    <x v="0"/>
    <x v="4"/>
  </r>
  <r>
    <m/>
    <s v="C-Vedika Soni"/>
    <s v="Contractor (QA Engineer)"/>
    <x v="0"/>
    <x v="4"/>
  </r>
  <r>
    <m/>
    <s v="C-Sourabh Samediya"/>
    <s v="Contractor – QA Engineer"/>
    <x v="0"/>
    <x v="2"/>
  </r>
  <r>
    <m/>
    <s v="C-Ajay Pal"/>
    <s v="Contractor (QA)"/>
    <x v="0"/>
    <x v="2"/>
  </r>
  <r>
    <m/>
    <s v="Jyothi Mittapalli"/>
    <s v="Senior Lead QA Engineer"/>
    <x v="1"/>
    <x v="7"/>
  </r>
  <r>
    <s v="Jenny Wai Li"/>
    <s v="Shailja Singh"/>
    <s v="Senior QA Engineer"/>
    <x v="1"/>
    <x v="8"/>
  </r>
  <r>
    <m/>
    <s v="Mohit Sengar"/>
    <s v="Contractor – QA Engineer"/>
    <x v="0"/>
    <x v="9"/>
  </r>
  <r>
    <m/>
    <s v="C-Anshul Sahu"/>
    <s v="Contractor (QA)"/>
    <x v="0"/>
    <x v="10"/>
  </r>
  <r>
    <m/>
    <s v="Yan Sarnovskiy"/>
    <s v="Lead QA Engineer"/>
    <x v="1"/>
    <x v="9"/>
  </r>
  <r>
    <m/>
    <s v="C-Apurva Choudary"/>
    <s v="Contractor – QA Engineer"/>
    <x v="0"/>
    <x v="9"/>
  </r>
  <r>
    <m/>
    <s v="C-Shubhi Badole"/>
    <s v="Contractor – QA Engineer"/>
    <x v="0"/>
    <x v="9"/>
  </r>
  <r>
    <m/>
    <s v="C-Anurag Padiyar"/>
    <s v="Contractor (QA Engineer)"/>
    <x v="0"/>
    <x v="11"/>
  </r>
  <r>
    <m/>
    <s v="Keshav Jaiswal"/>
    <s v="Contractor – QA Engineer"/>
    <x v="0"/>
    <x v="9"/>
  </r>
  <r>
    <m/>
    <s v="C-Gourav Tomar"/>
    <s v="Contractor – QA Engineer"/>
    <x v="0"/>
    <x v="9"/>
  </r>
  <r>
    <m/>
    <s v="Syamala Bantupalli"/>
    <s v="Contractor – Sr. QA Engineer"/>
    <x v="0"/>
    <x v="10"/>
  </r>
  <r>
    <m/>
    <s v="Ajay Kumar Gupta"/>
    <s v="Contractor – QA Engineer"/>
    <x v="0"/>
    <x v="9"/>
  </r>
  <r>
    <m/>
    <s v="Yadav Singh Parmar"/>
    <s v="Contractor – Sr. QA Engineer"/>
    <x v="0"/>
    <x v="9"/>
  </r>
  <r>
    <m/>
    <s v="Sandeep Chaubey"/>
    <s v="Contractor – QA Lead"/>
    <x v="0"/>
    <x v="12"/>
  </r>
  <r>
    <m/>
    <s v="Nikhila Aradhyula"/>
    <s v="QA Engineer"/>
    <x v="1"/>
    <x v="10"/>
  </r>
  <r>
    <m/>
    <s v="C-Subhani Singh"/>
    <s v="Contractor – QA Engineer"/>
    <x v="0"/>
    <x v="13"/>
  </r>
  <r>
    <m/>
    <s v="Nikhil Bhatt"/>
    <s v="Contractor – QA Engineer"/>
    <x v="0"/>
    <x v="13"/>
  </r>
  <r>
    <m/>
    <s v="C-Megha Upadhayay"/>
    <s v="Contractor (QA)"/>
    <x v="0"/>
    <x v="10"/>
  </r>
  <r>
    <s v="Shefali Singh"/>
    <s v="c-Neeti Sharma"/>
    <s v="Contractor – QA Engineer"/>
    <x v="0"/>
    <x v="14"/>
  </r>
  <r>
    <m/>
    <s v="Pushpendra Tiwari"/>
    <s v="Contractor – QA Engineer"/>
    <x v="0"/>
    <x v="15"/>
  </r>
  <r>
    <m/>
    <s v="Chitralekha Dwivedi"/>
    <s v="Contractor – QA Engineer"/>
    <x v="0"/>
    <x v="16"/>
  </r>
  <r>
    <m/>
    <s v="C-Akshay Mandloi"/>
    <s v="Contractor – QA Engineer"/>
    <x v="0"/>
    <x v="14"/>
  </r>
  <r>
    <m/>
    <s v="C-Prerna Sharma"/>
    <s v="Contractor – QA Engineer"/>
    <x v="0"/>
    <x v="17"/>
  </r>
  <r>
    <m/>
    <s v="Gurmeet Singh"/>
    <s v="Contractor – QA Engineer"/>
    <x v="0"/>
    <x v="18"/>
  </r>
  <r>
    <m/>
    <s v="c-Akshay Patidar"/>
    <s v="Contractor (QA Engineer)"/>
    <x v="0"/>
    <x v="17"/>
  </r>
  <r>
    <m/>
    <s v="c-Mahima Malviya"/>
    <s v="Contractor (QA Engineer)"/>
    <x v="0"/>
    <x v="19"/>
  </r>
  <r>
    <m/>
    <s v="C-Rishabh Joshi"/>
    <s v="Contractor – QA Engineer"/>
    <x v="0"/>
    <x v="17"/>
  </r>
  <r>
    <m/>
    <s v="c-Bhushan Mahire"/>
    <s v="Contractor (QA Engineer)"/>
    <x v="0"/>
    <x v="17"/>
  </r>
  <r>
    <m/>
    <s v="Helly Tanna"/>
    <s v="Senior QA Engineer"/>
    <x v="1"/>
    <x v="20"/>
  </r>
  <r>
    <m/>
    <s v="Olga Grama"/>
    <s v="Lead QA Engineer"/>
    <x v="1"/>
    <x v="16"/>
  </r>
  <r>
    <m/>
    <s v="c-Ravi Singh"/>
    <s v="Contractor – QA Engineer"/>
    <x v="0"/>
    <x v="18"/>
  </r>
  <r>
    <m/>
    <s v="C-Kanika Dixit"/>
    <s v="Contractor – QA Engineer"/>
    <x v="0"/>
    <x v="16"/>
  </r>
  <r>
    <m/>
    <s v="Rohit Jha"/>
    <s v="Contractor – Sr. QA Engineer"/>
    <x v="0"/>
    <x v="17"/>
  </r>
  <r>
    <m/>
    <s v="C-Bhagwan Soni"/>
    <s v="Contractor – QA Engineer"/>
    <x v="0"/>
    <x v="17"/>
  </r>
  <r>
    <m/>
    <s v="Paul Zarzecki"/>
    <s v="QA Manager"/>
    <x v="1"/>
    <x v="21"/>
  </r>
  <r>
    <m/>
    <s v="Lilia Tulei"/>
    <s v="QA Engineer"/>
    <x v="1"/>
    <x v="18"/>
  </r>
  <r>
    <m/>
    <s v="Fong Xiong"/>
    <s v="Senior QA Engineer"/>
    <x v="1"/>
    <x v="22"/>
  </r>
  <r>
    <m/>
    <s v="C-Tarun Sakalley"/>
    <s v="QA Contractor"/>
    <x v="0"/>
    <x v="18"/>
  </r>
  <r>
    <m/>
    <s v="C-Shruti Joshi"/>
    <s v="Contractor (QA)"/>
    <x v="0"/>
    <x v="16"/>
  </r>
  <r>
    <m/>
    <s v="C-Shobhit Shrivas"/>
    <s v="Contractor – QA Engineer"/>
    <x v="0"/>
    <x v="17"/>
  </r>
  <r>
    <m/>
    <s v="C-Rishi Shrivastava"/>
    <s v="Contractor – QA Engineer"/>
    <x v="0"/>
    <x v="20"/>
  </r>
  <r>
    <m/>
    <s v="Pavel Preyomyshev"/>
    <s v="Lead QA Engineer"/>
    <x v="1"/>
    <x v="18"/>
  </r>
  <r>
    <m/>
    <s v="Marina Belova"/>
    <s v="Senior QA Engineer"/>
    <x v="1"/>
    <x v="23"/>
  </r>
  <r>
    <m/>
    <s v="C-Gourav Shukla"/>
    <s v="Contractor (QA)"/>
    <x v="0"/>
    <x v="24"/>
  </r>
  <r>
    <m/>
    <s v="C-Sumit Verma"/>
    <s v="Contractor (QA)"/>
    <x v="0"/>
    <x v="25"/>
  </r>
  <r>
    <m/>
    <s v="C-Roma Jain"/>
    <s v="Contractor (QA)"/>
    <x v="0"/>
    <x v="17"/>
  </r>
  <r>
    <m/>
    <s v="C-Priya Chouhan"/>
    <s v="Contractor – QA Engineer"/>
    <x v="0"/>
    <x v="26"/>
  </r>
  <r>
    <m/>
    <s v="C-Pooja Thakur"/>
    <s v="Contractor – QA Engineer"/>
    <x v="0"/>
    <x v="17"/>
  </r>
  <r>
    <m/>
    <s v="Abel Cruz"/>
    <s v="Senior QA Engineer"/>
    <x v="1"/>
    <x v="16"/>
  </r>
  <r>
    <m/>
    <s v="C-Mayank Khede"/>
    <s v="Contractor – QA Engineer"/>
    <x v="0"/>
    <x v="18"/>
  </r>
  <r>
    <m/>
    <s v="C-Shreya Raghuwanshi"/>
    <s v="Contractor – QA Engineer"/>
    <x v="0"/>
    <x v="18"/>
  </r>
  <r>
    <m/>
    <s v="C-Rahul Sharma"/>
    <s v="Contractor – QA Engineer"/>
    <x v="0"/>
    <x v="14"/>
  </r>
  <r>
    <m/>
    <s v="Preeti Sharma"/>
    <s v="Lead QA Engineer"/>
    <x v="1"/>
    <x v="27"/>
  </r>
  <r>
    <m/>
    <s v="C-Nikhil Sharma"/>
    <s v="Contractor – QA Engineer"/>
    <x v="0"/>
    <x v="14"/>
  </r>
  <r>
    <m/>
    <s v="C-Kushal Saitwal"/>
    <s v="Contractor – QA Engineer"/>
    <x v="0"/>
    <x v="16"/>
  </r>
  <r>
    <m/>
    <s v="C-Harsh Parasher"/>
    <s v="Contractor (QA)"/>
    <x v="0"/>
    <x v="18"/>
  </r>
  <r>
    <m/>
    <s v="Ajay Yadav"/>
    <s v="Contractor – QA Engineer"/>
    <x v="0"/>
    <x v="27"/>
  </r>
  <r>
    <m/>
    <s v="C-Shubham Kumawat"/>
    <s v="Contractor (QA)"/>
    <x v="0"/>
    <x v="14"/>
  </r>
  <r>
    <m/>
    <s v="C-Prajjawal Saxena"/>
    <s v="Contractor – QA Engineer"/>
    <x v="0"/>
    <x v="28"/>
  </r>
  <r>
    <m/>
    <s v="C-Aniruddh Dongariya"/>
    <s v="Contractor – QA Engineer"/>
    <x v="0"/>
    <x v="17"/>
  </r>
  <r>
    <m/>
    <s v="C-Shubham Chandra"/>
    <s v="Contractor – QA Engineer"/>
    <x v="0"/>
    <x v="14"/>
  </r>
  <r>
    <m/>
    <s v="Sanjeev Gupta"/>
    <s v="Contractor – QA Engineer"/>
    <x v="0"/>
    <x v="17"/>
  </r>
  <r>
    <m/>
    <s v="C-Divya Sharma"/>
    <s v="Contractor – QA Engineer"/>
    <x v="0"/>
    <x v="17"/>
  </r>
  <r>
    <m/>
    <s v="Jyothi Dasari"/>
    <s v="QA Lead"/>
    <x v="0"/>
    <x v="21"/>
  </r>
  <r>
    <m/>
    <s v="C-Rajkamal Karpenter"/>
    <s v="Contractor – QA Engineer"/>
    <x v="0"/>
    <x v="14"/>
  </r>
  <r>
    <m/>
    <s v="C-Ashish Kaslikar"/>
    <s v="Contractor – QA Engineer"/>
    <x v="0"/>
    <x v="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4971C0-0CB2-4679-AF5B-399FD589BBFE}" name="PivotTable1" cacheId="236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18" firstHeaderRow="1" firstDataRow="2" firstDataCol="1"/>
  <pivotFields count="4">
    <pivotField compact="0" outline="0" showAll="0"/>
    <pivotField compact="0" outline="0" showAll="0"/>
    <pivotField axis="axisCol" dataField="1" compact="0" outline="0" showAll="0">
      <items count="4">
        <item h="1" x="1"/>
        <item x="0"/>
        <item h="1" x="2"/>
        <item t="default"/>
      </items>
    </pivotField>
    <pivotField axis="axisRow" compact="0" outline="0" showAll="0">
      <items count="22">
        <item x="11"/>
        <item x="2"/>
        <item x="12"/>
        <item x="3"/>
        <item x="20"/>
        <item h="1" x="5"/>
        <item x="19"/>
        <item h="1" x="16"/>
        <item h="1" x="9"/>
        <item x="17"/>
        <item x="15"/>
        <item x="4"/>
        <item h="1" x="13"/>
        <item x="18"/>
        <item x="7"/>
        <item h="1" x="10"/>
        <item h="1" x="0"/>
        <item x="6"/>
        <item h="1" x="8"/>
        <item x="1"/>
        <item h="1" x="14"/>
        <item t="default"/>
      </items>
    </pivotField>
  </pivotFields>
  <rowFields count="1">
    <field x="3"/>
  </rowFields>
  <rowItems count="14">
    <i>
      <x/>
    </i>
    <i>
      <x v="1"/>
    </i>
    <i>
      <x v="2"/>
    </i>
    <i>
      <x v="3"/>
    </i>
    <i>
      <x v="4"/>
    </i>
    <i>
      <x v="6"/>
    </i>
    <i>
      <x v="9"/>
    </i>
    <i>
      <x v="10"/>
    </i>
    <i>
      <x v="11"/>
    </i>
    <i>
      <x v="13"/>
    </i>
    <i>
      <x v="14"/>
    </i>
    <i>
      <x v="17"/>
    </i>
    <i>
      <x v="19"/>
    </i>
    <i t="grand">
      <x/>
    </i>
  </rowItems>
  <colFields count="1">
    <field x="2"/>
  </colFields>
  <colItems count="2">
    <i>
      <x v="1"/>
    </i>
    <i t="grand">
      <x/>
    </i>
  </colItems>
  <dataFields count="1">
    <dataField name="Count of Employment"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5D11C8-C34D-4815-9492-E2314A9380D5}" name="PivotTable2" cacheId="236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6:C39" firstHeaderRow="1" firstDataRow="2" firstDataCol="1"/>
  <pivotFields count="5">
    <pivotField compact="0" outline="0" showAll="0"/>
    <pivotField compact="0" outline="0" showAll="0"/>
    <pivotField compact="0" outline="0" showAll="0"/>
    <pivotField axis="axisCol" dataField="1" compact="0" outline="0" showAll="0">
      <items count="3">
        <item x="0"/>
        <item x="1"/>
        <item t="default"/>
      </items>
    </pivotField>
    <pivotField axis="axisRow" compact="0" outline="0" showAll="0">
      <items count="30">
        <item h="1" x="28"/>
        <item h="1" x="18"/>
        <item h="1" x="19"/>
        <item h="1" x="24"/>
        <item x="0"/>
        <item h="1" x="1"/>
        <item h="1" x="9"/>
        <item h="1" x="17"/>
        <item h="1" x="20"/>
        <item h="1" x="27"/>
        <item h="1" x="21"/>
        <item h="1" x="25"/>
        <item h="1" x="23"/>
        <item h="1" x="22"/>
        <item h="1" x="15"/>
        <item h="1" x="26"/>
        <item h="1" x="10"/>
        <item h="1" x="16"/>
        <item h="1" x="2"/>
        <item h="1" x="4"/>
        <item h="1" x="3"/>
        <item h="1" x="6"/>
        <item h="1" x="7"/>
        <item h="1" x="5"/>
        <item h="1" x="14"/>
        <item h="1" x="8"/>
        <item h="1" x="11"/>
        <item h="1" x="13"/>
        <item h="1" x="12"/>
        <item t="default"/>
      </items>
    </pivotField>
  </pivotFields>
  <rowFields count="1">
    <field x="4"/>
  </rowFields>
  <rowItems count="2">
    <i>
      <x v="4"/>
    </i>
    <i t="grand">
      <x/>
    </i>
  </rowItems>
  <colFields count="1">
    <field x="3"/>
  </colFields>
  <colItems count="2">
    <i>
      <x/>
    </i>
    <i t="grand">
      <x/>
    </i>
  </colItems>
  <dataFields count="1">
    <dataField name="Count of Employment"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 xr10:uid="{10A5DECF-445C-4812-B9D1-275501761FD4}" sourceName="Team">
  <pivotTables>
    <pivotTable tabId="9" name="PivotTable1"/>
  </pivotTables>
  <data>
    <tabular pivotCacheId="412710214">
      <items count="21">
        <i x="11" s="1"/>
        <i x="2" s="1"/>
        <i x="12" s="1"/>
        <i x="3" s="1"/>
        <i x="20" s="1"/>
        <i x="5"/>
        <i x="19" s="1"/>
        <i x="16"/>
        <i x="17" s="1"/>
        <i x="15" s="1"/>
        <i x="4" s="1"/>
        <i x="13"/>
        <i x="18" s="1"/>
        <i x="7" s="1"/>
        <i x="0"/>
        <i x="6" s="1"/>
        <i x="1" s="1"/>
        <i x="14"/>
        <i x="9" nd="1"/>
        <i x="10" nd="1"/>
        <i x="8"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 xr10:uid="{71EF6795-F401-4BE5-831F-929E9FE32498}" sourceName="Employment">
  <pivotTables>
    <pivotTable tabId="9" name="PivotTable1"/>
  </pivotTables>
  <data>
    <tabular pivotCacheId="412710214">
      <items count="3">
        <i x="1"/>
        <i x="0" s="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xr10:uid="{7E0494ED-FA7E-40F9-AD9F-25C5647B8715}" cache="Slicer_Team" caption="Team" rowHeight="228600"/>
  <slicer name="Employment" xr10:uid="{381AF2D5-D06E-42FB-883B-34E55CF6BA1B}" cache="Slicer_Employment" caption="Employment" rowHeight="2286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97" dT="2026-02-18T05:42:21.43" personId="{F40F906F-E828-460C-88DC-43B3305F6B58}" id="{374283BC-0859-2643-908B-9E54BE035742}">
    <text>@Jagjit Singh @Kashan Babar jyothi should be full time. not contractor</text>
    <mentions>
      <mention mentionpersonId="{CBFAAD39-2E2F-0841-993C-10AFFD81C1CC}" mentionId="{4D7B2881-34A2-1E4C-8876-D49802EB573C}" startIndex="0" length="13"/>
      <mention mentionpersonId="{504188AE-5B7E-4A88-AC1D-AB87C505B1B4}" mentionId="{3DC8EDE7-9C4B-A845-9665-104759F7C78D}" startIndex="14" length="13"/>
    </mentions>
  </threadedComment>
  <threadedComment ref="B97" dT="2026-02-18T06:04:54.45" personId="{F40F906F-E828-460C-88DC-43B3305F6B58}" id="{02FC1ACA-A297-E340-B484-251E1B00CE8C}" parentId="{374283BC-0859-2643-908B-9E54BE035742}">
    <text>never mind.. wrong jyothi..</text>
  </threadedComment>
  <threadedComment ref="E103" dT="2026-02-19T07:12:17.61" personId="{F40F906F-E828-460C-88DC-43B3305F6B58}" id="{C902FD49-B230-FE4E-9A6C-427C4D884FFA}">
    <text>@Kashan Babar @Jagjit Singh this should be 20, same on the dashboard</text>
    <mentions>
      <mention mentionpersonId="{504188AE-5B7E-4A88-AC1D-AB87C505B1B4}" mentionId="{35632A94-F56C-1746-B2BE-20AB58FBE9EF}" startIndex="0" length="13"/>
      <mention mentionpersonId="{CBFAAD39-2E2F-0841-993C-10AFFD81C1CC}" mentionId="{14597CC4-91CD-7048-B819-A08B15A32BAE}" startIndex="14" length="13"/>
    </mentions>
  </threadedComment>
  <threadedComment ref="E103" dT="2026-02-19T07:35:47.14" personId="{F40F906F-E828-460C-88DC-43B3305F6B58}" id="{BFDE86BA-25CC-8545-BA6A-8F9E270D1758}" parentId="{C902FD49-B230-FE4E-9A6C-427C4D884FFA}">
    <text>nevermind.. I understand oleg is not counted here.</text>
  </threadedComment>
</ThreadedComments>
</file>

<file path=xl/threadedComments/threadedComment2.xml><?xml version="1.0" encoding="utf-8"?>
<ThreadedComments xmlns="http://schemas.microsoft.com/office/spreadsheetml/2018/threadedcomments" xmlns:x="http://schemas.openxmlformats.org/spreadsheetml/2006/main">
  <threadedComment ref="F51" dT="2025-12-15T01:29:42.36" personId="{F40F906F-E828-460C-88DC-43B3305F6B58}" id="{C23B908F-9175-4E54-A3AD-68403FCC385B}">
    <text>@Kashan Babar  changed the 3 guys from tools to engg support</text>
    <mentions>
      <mention mentionpersonId="{504188AE-5B7E-4A88-AC1D-AB87C505B1B4}" mentionId="{0EB0FFFF-E010-4728-A058-D4C7CEA9A6C5}" startIndex="0" length="13"/>
    </mentions>
  </threadedComment>
  <threadedComment ref="D78" dT="2026-02-18T01:52:20.10" personId="{F40F906F-E828-460C-88DC-43B3305F6B58}" id="{FE92824E-8E6E-BD4F-8A4C-4E4714BE3DDF}">
    <text>@Jagjit Singh @Kashan Babar this should be contractor</text>
    <mentions>
      <mention mentionpersonId="{CBFAAD39-2E2F-0841-993C-10AFFD81C1CC}" mentionId="{134764E7-DF84-8D48-AF1F-8C9447B4EFC5}" startIndex="0" length="13"/>
      <mention mentionpersonId="{504188AE-5B7E-4A88-AC1D-AB87C505B1B4}" mentionId="{FE78E015-DF5D-394D-B24F-753FF30B3090}" startIndex="14" length="13"/>
    </mentions>
  </threadedComment>
  <threadedComment ref="D78" dT="2026-02-18T22:17:46.58" personId="{7BDD6B96-59F8-494A-B556-5733C82ADC9E}" id="{7DCC8291-71E8-DC46-9929-896431574C67}" parentId="{FE92824E-8E6E-BD4F-8A4C-4E4714BE3DDF}">
    <text>@Jaimini Joshi fixed</text>
    <mentions>
      <mention mentionpersonId="{3555D7C9-DDFC-7E4E-A79F-F676A77DA3C4}" mentionId="{F0C8243A-B55F-2E4C-A30C-2E7DAD1A0E77}" startIndex="0" length="14"/>
    </mentions>
  </threadedComment>
  <threadedComment ref="J97" dT="2026-02-18T01:42:40.34" personId="{F40F906F-E828-460C-88DC-43B3305F6B58}" id="{CF5B7BD2-0E58-AC4F-9788-7D01C1425A3A}">
    <text>@Jagjit Singh nouka missing
cc @Kashan Babar</text>
    <mentions>
      <mention mentionpersonId="{CBFAAD39-2E2F-0841-993C-10AFFD81C1CC}" mentionId="{859D9BA9-6AE8-B147-9F66-27D1C9CCEAF6}" startIndex="0" length="13"/>
      <mention mentionpersonId="{504188AE-5B7E-4A88-AC1D-AB87C505B1B4}" mentionId="{32CEAC4D-A034-0E4E-BC95-907B270B3192}" startIndex="31" length="13"/>
    </mentions>
  </threadedComment>
  <threadedComment ref="J97" dT="2026-02-18T01:54:17.07" personId="{F40F906F-E828-460C-88DC-43B3305F6B58}" id="{BEFF7303-25D1-F344-9BF1-0C75E72880B2}" parentId="{CF5B7BD2-0E58-AC4F-9788-7D01C1425A3A}">
    <text>Felipe Ferreira missing vids team</text>
  </threadedComment>
  <threadedComment ref="J97" dT="2026-02-18T01:54:40.37" personId="{F40F906F-E828-460C-88DC-43B3305F6B58}" id="{BF32683B-41C8-D648-8634-74868A12071B}" parentId="{CF5B7BD2-0E58-AC4F-9788-7D01C1425A3A}">
    <text>Rajkamal Carpenter missing integrations</text>
  </threadedComment>
</ThreadedComments>
</file>

<file path=xl/threadedComments/threadedComment3.xml><?xml version="1.0" encoding="utf-8"?>
<ThreadedComments xmlns="http://schemas.microsoft.com/office/spreadsheetml/2018/threadedcomments" xmlns:x="http://schemas.openxmlformats.org/spreadsheetml/2006/main">
  <threadedComment ref="J13" dT="2026-02-19T07:21:24.58" personId="{F40F906F-E828-460C-88DC-43B3305F6B58}" id="{90120C7E-44A6-2446-8679-0E3B4BCB5D06}">
    <text>should be 37 - ankit jain contractor likely needs to be removed</text>
  </threadedComment>
  <threadedComment ref="J13" dT="2026-02-19T18:50:22.47" personId="{7BDD6B96-59F8-494A-B556-5733C82ADC9E}" id="{98E92C86-0653-D446-932D-1B7147644DC7}" parentId="{90120C7E-44A6-2446-8679-0E3B4BCB5D06}">
    <text>Per Shishir: This is LMS india team dev, we have used them as per project basis for IOS app screenshare for Vonage.</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namedSheetView" Target="../namedSheetViews/namedSheetView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namedSheetView" Target="../namedSheetViews/namedSheetView2.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7D9D8-EF04-3B42-942D-5C6386846091}">
  <sheetPr>
    <tabColor rgb="FF00B050"/>
  </sheetPr>
  <dimension ref="A1:J10"/>
  <sheetViews>
    <sheetView workbookViewId="0">
      <selection activeCell="B2" sqref="B2:B6"/>
    </sheetView>
  </sheetViews>
  <sheetFormatPr defaultColWidth="11.42578125" defaultRowHeight="15"/>
  <cols>
    <col min="1" max="1" width="18" customWidth="1"/>
    <col min="2" max="2" width="32.28515625" customWidth="1"/>
    <col min="3" max="3" width="30" customWidth="1"/>
    <col min="4" max="4" width="38.140625" customWidth="1"/>
    <col min="5" max="5" width="26" customWidth="1"/>
    <col min="6" max="6" width="16.140625" customWidth="1"/>
    <col min="8" max="8" width="15.28515625" customWidth="1"/>
    <col min="9" max="9" width="15.140625" customWidth="1"/>
  </cols>
  <sheetData>
    <row r="1" spans="1:10" ht="21">
      <c r="A1" s="7" t="s">
        <v>0</v>
      </c>
      <c r="B1" s="8" t="s">
        <v>1</v>
      </c>
      <c r="C1" s="9" t="s">
        <v>2</v>
      </c>
      <c r="D1" s="37" t="s">
        <v>3</v>
      </c>
      <c r="E1" s="32" t="s">
        <v>4</v>
      </c>
      <c r="F1" s="32" t="s">
        <v>5</v>
      </c>
      <c r="H1" s="32" t="s">
        <v>6</v>
      </c>
      <c r="I1" s="32" t="s">
        <v>7</v>
      </c>
      <c r="J1" s="32" t="s">
        <v>8</v>
      </c>
    </row>
    <row r="2" spans="1:10" ht="21">
      <c r="A2" s="248" t="s">
        <v>9</v>
      </c>
      <c r="B2" s="21" t="s">
        <v>10</v>
      </c>
      <c r="C2" s="21" t="s">
        <v>11</v>
      </c>
      <c r="D2" s="21" t="s">
        <v>12</v>
      </c>
      <c r="E2" s="251" t="s">
        <v>13</v>
      </c>
      <c r="F2" s="251">
        <v>5</v>
      </c>
      <c r="H2" s="16">
        <v>8</v>
      </c>
      <c r="I2" s="16">
        <v>1</v>
      </c>
      <c r="J2" s="16">
        <v>9</v>
      </c>
    </row>
    <row r="3" spans="1:10" ht="21">
      <c r="A3" s="248"/>
      <c r="B3" s="21" t="s">
        <v>14</v>
      </c>
      <c r="C3" s="21" t="s">
        <v>11</v>
      </c>
      <c r="D3" s="21" t="s">
        <v>12</v>
      </c>
      <c r="E3" s="251"/>
      <c r="F3" s="251"/>
    </row>
    <row r="4" spans="1:10" ht="21">
      <c r="A4" s="248"/>
      <c r="B4" s="21" t="s">
        <v>15</v>
      </c>
      <c r="C4" s="21" t="s">
        <v>11</v>
      </c>
      <c r="D4" s="21" t="s">
        <v>12</v>
      </c>
      <c r="E4" s="251"/>
      <c r="F4" s="251"/>
    </row>
    <row r="5" spans="1:10" ht="21">
      <c r="A5" s="248"/>
      <c r="B5" s="21" t="s">
        <v>16</v>
      </c>
      <c r="C5" s="21" t="s">
        <v>11</v>
      </c>
      <c r="D5" s="21" t="s">
        <v>12</v>
      </c>
      <c r="E5" s="251"/>
      <c r="F5" s="251"/>
    </row>
    <row r="6" spans="1:10" ht="21">
      <c r="A6" s="248"/>
      <c r="B6" s="21" t="s">
        <v>17</v>
      </c>
      <c r="C6" s="21" t="s">
        <v>11</v>
      </c>
      <c r="D6" s="21" t="s">
        <v>18</v>
      </c>
      <c r="E6" s="251"/>
      <c r="F6" s="251"/>
    </row>
    <row r="7" spans="1:10" ht="21">
      <c r="A7" s="33" t="s">
        <v>10</v>
      </c>
      <c r="B7" s="33" t="s">
        <v>19</v>
      </c>
      <c r="C7" s="33" t="s">
        <v>11</v>
      </c>
      <c r="D7" s="33" t="s">
        <v>12</v>
      </c>
      <c r="E7" s="11" t="s">
        <v>20</v>
      </c>
      <c r="F7" s="11">
        <v>1</v>
      </c>
    </row>
    <row r="8" spans="1:10" ht="21" customHeight="1">
      <c r="A8" s="249" t="s">
        <v>17</v>
      </c>
      <c r="B8" s="34" t="s">
        <v>21</v>
      </c>
      <c r="C8" s="34" t="s">
        <v>11</v>
      </c>
      <c r="D8" s="34" t="s">
        <v>22</v>
      </c>
      <c r="E8" s="252" t="s">
        <v>23</v>
      </c>
      <c r="F8" s="251">
        <v>3</v>
      </c>
    </row>
    <row r="9" spans="1:10" ht="21">
      <c r="A9" s="250"/>
      <c r="B9" s="24" t="s">
        <v>24</v>
      </c>
      <c r="C9" s="24" t="s">
        <v>7</v>
      </c>
      <c r="D9" s="24" t="s">
        <v>22</v>
      </c>
      <c r="E9" s="251"/>
      <c r="F9" s="251"/>
    </row>
    <row r="10" spans="1:10" ht="45" customHeight="1">
      <c r="A10" s="250"/>
      <c r="B10" s="24" t="s">
        <v>25</v>
      </c>
      <c r="C10" s="24" t="s">
        <v>11</v>
      </c>
      <c r="D10" s="24" t="s">
        <v>22</v>
      </c>
      <c r="E10" s="251"/>
      <c r="F10" s="251"/>
    </row>
  </sheetData>
  <mergeCells count="6">
    <mergeCell ref="A2:A6"/>
    <mergeCell ref="A8:A10"/>
    <mergeCell ref="E2:E6"/>
    <mergeCell ref="F2:F6"/>
    <mergeCell ref="E8:E10"/>
    <mergeCell ref="F8:F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499984740745262"/>
  </sheetPr>
  <dimension ref="A1:Z109"/>
  <sheetViews>
    <sheetView topLeftCell="A12" zoomScaleNormal="100" workbookViewId="0">
      <selection activeCell="C16" sqref="C16"/>
    </sheetView>
  </sheetViews>
  <sheetFormatPr defaultColWidth="8.85546875" defaultRowHeight="21"/>
  <cols>
    <col min="1" max="1" width="25.7109375" style="67" customWidth="1"/>
    <col min="2" max="2" width="25" style="161" customWidth="1"/>
    <col min="3" max="3" width="38.85546875" style="1" bestFit="1" customWidth="1"/>
    <col min="4" max="4" width="25.7109375" style="1" customWidth="1"/>
    <col min="5" max="5" width="29.42578125" style="1" customWidth="1"/>
    <col min="6" max="6" width="61.7109375" style="69" customWidth="1"/>
    <col min="7" max="7" width="18.42578125" style="69" customWidth="1"/>
    <col min="8" max="8" width="8.42578125" style="69" customWidth="1"/>
    <col min="9" max="9" width="30.140625" style="83" customWidth="1"/>
    <col min="10" max="11" width="14" style="69" customWidth="1"/>
    <col min="12" max="12" width="8.85546875" style="69"/>
    <col min="13" max="13" width="21.42578125" style="69" customWidth="1"/>
    <col min="14" max="14" width="17.7109375" style="69" customWidth="1"/>
    <col min="15" max="15" width="21.140625" style="69" customWidth="1"/>
    <col min="16" max="16" width="8.85546875" style="69"/>
    <col min="17" max="17" width="94.85546875" style="69" customWidth="1"/>
    <col min="18" max="16384" width="8.85546875" style="69"/>
  </cols>
  <sheetData>
    <row r="1" spans="1:26" s="10" customFormat="1" ht="219.95" customHeight="1">
      <c r="A1" s="233" t="s">
        <v>0</v>
      </c>
      <c r="B1" s="233" t="s">
        <v>1</v>
      </c>
      <c r="C1" s="233" t="s">
        <v>26</v>
      </c>
      <c r="D1" s="233" t="s">
        <v>2</v>
      </c>
      <c r="E1" s="233" t="s">
        <v>27</v>
      </c>
      <c r="F1" s="233" t="s">
        <v>28</v>
      </c>
      <c r="G1" s="233" t="s">
        <v>29</v>
      </c>
      <c r="H1" s="123" t="s">
        <v>30</v>
      </c>
      <c r="I1" s="233" t="s">
        <v>31</v>
      </c>
      <c r="J1" s="233" t="s">
        <v>8</v>
      </c>
      <c r="K1" s="18"/>
      <c r="L1" s="234"/>
      <c r="M1" s="32" t="s">
        <v>27</v>
      </c>
      <c r="N1" s="32" t="s">
        <v>32</v>
      </c>
      <c r="O1" s="32" t="s">
        <v>33</v>
      </c>
    </row>
    <row r="2" spans="1:26" ht="21" customHeight="1">
      <c r="A2" s="254" t="s">
        <v>34</v>
      </c>
      <c r="B2" s="70" t="s">
        <v>35</v>
      </c>
      <c r="C2" s="164" t="s">
        <v>36</v>
      </c>
      <c r="D2" s="70" t="s">
        <v>7</v>
      </c>
      <c r="E2" s="169" t="s">
        <v>37</v>
      </c>
      <c r="F2" s="86" t="s">
        <v>38</v>
      </c>
      <c r="G2" s="88">
        <v>44725</v>
      </c>
      <c r="H2" s="87">
        <v>2</v>
      </c>
      <c r="I2" s="266" t="s">
        <v>39</v>
      </c>
      <c r="J2" s="251">
        <v>14</v>
      </c>
      <c r="K2" s="266"/>
      <c r="M2" s="71" t="s">
        <v>40</v>
      </c>
      <c r="N2" s="71"/>
      <c r="O2" s="71"/>
      <c r="Q2" s="282" t="s">
        <v>41</v>
      </c>
      <c r="R2" s="282"/>
      <c r="S2" s="282"/>
      <c r="T2" s="282"/>
      <c r="U2" s="282"/>
      <c r="V2" s="282"/>
      <c r="W2" s="282"/>
      <c r="X2" s="282"/>
      <c r="Y2" s="282"/>
      <c r="Z2" s="282"/>
    </row>
    <row r="3" spans="1:26" s="1" customFormat="1">
      <c r="A3" s="255"/>
      <c r="B3" s="2" t="s">
        <v>42</v>
      </c>
      <c r="C3" s="2" t="s">
        <v>43</v>
      </c>
      <c r="D3" s="2" t="s">
        <v>11</v>
      </c>
      <c r="E3" s="29" t="s">
        <v>44</v>
      </c>
      <c r="F3" s="53"/>
      <c r="G3" s="53"/>
      <c r="H3" s="53"/>
      <c r="I3" s="267"/>
      <c r="J3" s="251"/>
      <c r="K3" s="267"/>
      <c r="L3" s="38"/>
      <c r="M3" s="28" t="s">
        <v>45</v>
      </c>
      <c r="N3" s="28"/>
      <c r="O3" s="28"/>
      <c r="P3" s="38"/>
    </row>
    <row r="4" spans="1:26" s="1" customFormat="1">
      <c r="A4" s="255"/>
      <c r="B4" s="2" t="s">
        <v>46</v>
      </c>
      <c r="C4" s="2" t="s">
        <v>47</v>
      </c>
      <c r="D4" s="2" t="s">
        <v>11</v>
      </c>
      <c r="E4" s="29" t="s">
        <v>44</v>
      </c>
      <c r="F4" s="53"/>
      <c r="G4" s="53"/>
      <c r="H4" s="53"/>
      <c r="I4" s="267"/>
      <c r="J4" s="251"/>
      <c r="K4" s="267"/>
      <c r="M4" s="28" t="s">
        <v>48</v>
      </c>
      <c r="N4" s="28"/>
      <c r="O4" s="28"/>
    </row>
    <row r="5" spans="1:26" s="1" customFormat="1">
      <c r="A5" s="255"/>
      <c r="B5" s="2" t="s">
        <v>49</v>
      </c>
      <c r="C5" s="2" t="s">
        <v>47</v>
      </c>
      <c r="D5" s="2" t="s">
        <v>11</v>
      </c>
      <c r="E5" s="29" t="s">
        <v>44</v>
      </c>
      <c r="F5" s="53"/>
      <c r="G5" s="53"/>
      <c r="H5" s="53"/>
      <c r="I5" s="267"/>
      <c r="J5" s="251"/>
      <c r="K5" s="267"/>
      <c r="M5" s="28" t="s">
        <v>50</v>
      </c>
      <c r="N5" s="28">
        <v>1.5</v>
      </c>
      <c r="O5" s="28"/>
    </row>
    <row r="6" spans="1:26" ht="66">
      <c r="A6" s="255"/>
      <c r="B6" s="72" t="s">
        <v>51</v>
      </c>
      <c r="C6" s="21" t="s">
        <v>36</v>
      </c>
      <c r="D6" s="72" t="s">
        <v>7</v>
      </c>
      <c r="E6" s="170" t="s">
        <v>37</v>
      </c>
      <c r="F6" s="86" t="s">
        <v>52</v>
      </c>
      <c r="G6" s="88">
        <v>44435</v>
      </c>
      <c r="H6" s="87">
        <v>2</v>
      </c>
      <c r="I6" s="267"/>
      <c r="J6" s="251"/>
      <c r="K6" s="267"/>
      <c r="M6" s="71" t="s">
        <v>53</v>
      </c>
      <c r="N6" s="71">
        <v>1</v>
      </c>
      <c r="O6" s="71"/>
    </row>
    <row r="7" spans="1:26" ht="110.1">
      <c r="A7" s="255"/>
      <c r="B7" s="72" t="s">
        <v>54</v>
      </c>
      <c r="C7" s="21" t="s">
        <v>55</v>
      </c>
      <c r="D7" s="72" t="s">
        <v>7</v>
      </c>
      <c r="E7" s="170" t="s">
        <v>37</v>
      </c>
      <c r="F7" s="86" t="s">
        <v>56</v>
      </c>
      <c r="G7" s="88">
        <v>41275</v>
      </c>
      <c r="H7" s="87">
        <v>4</v>
      </c>
      <c r="I7" s="267"/>
      <c r="J7" s="251"/>
      <c r="K7" s="267"/>
      <c r="M7" s="71" t="s">
        <v>57</v>
      </c>
      <c r="N7" s="71"/>
      <c r="O7" s="71"/>
    </row>
    <row r="8" spans="1:26" ht="66">
      <c r="A8" s="255"/>
      <c r="B8" s="72" t="s">
        <v>58</v>
      </c>
      <c r="C8" s="21" t="s">
        <v>59</v>
      </c>
      <c r="D8" s="72" t="s">
        <v>7</v>
      </c>
      <c r="E8" s="170" t="s">
        <v>37</v>
      </c>
      <c r="F8" s="86" t="s">
        <v>60</v>
      </c>
      <c r="G8" s="88">
        <v>45915</v>
      </c>
      <c r="H8" s="87">
        <v>2</v>
      </c>
      <c r="I8" s="267"/>
      <c r="J8" s="251"/>
      <c r="K8" s="267"/>
      <c r="M8" s="71" t="s">
        <v>61</v>
      </c>
      <c r="N8" s="71">
        <v>0.5</v>
      </c>
      <c r="O8" s="71"/>
    </row>
    <row r="9" spans="1:26" ht="66">
      <c r="A9" s="255"/>
      <c r="B9" s="72" t="s">
        <v>62</v>
      </c>
      <c r="C9" s="21" t="s">
        <v>36</v>
      </c>
      <c r="D9" s="72" t="s">
        <v>7</v>
      </c>
      <c r="E9" s="170" t="s">
        <v>37</v>
      </c>
      <c r="F9" s="86" t="s">
        <v>63</v>
      </c>
      <c r="G9" s="88">
        <v>44700</v>
      </c>
      <c r="H9" s="87">
        <v>3</v>
      </c>
      <c r="I9" s="267"/>
      <c r="J9" s="251"/>
      <c r="K9" s="267"/>
      <c r="M9" s="71" t="s">
        <v>64</v>
      </c>
      <c r="N9" s="71"/>
      <c r="O9" s="71"/>
    </row>
    <row r="10" spans="1:26" ht="132">
      <c r="A10" s="255"/>
      <c r="B10" s="72" t="s">
        <v>65</v>
      </c>
      <c r="C10" s="165" t="s">
        <v>66</v>
      </c>
      <c r="D10" s="72" t="s">
        <v>7</v>
      </c>
      <c r="E10" s="170" t="s">
        <v>37</v>
      </c>
      <c r="F10" s="93" t="s">
        <v>67</v>
      </c>
      <c r="G10" s="88">
        <v>41313</v>
      </c>
      <c r="H10" s="87">
        <v>4</v>
      </c>
      <c r="I10" s="267"/>
      <c r="J10" s="251"/>
      <c r="K10" s="267"/>
      <c r="M10" s="71" t="s">
        <v>68</v>
      </c>
      <c r="N10" s="71"/>
      <c r="O10" s="71"/>
    </row>
    <row r="11" spans="1:26" ht="44.1">
      <c r="A11" s="255"/>
      <c r="B11" s="72" t="s">
        <v>69</v>
      </c>
      <c r="C11" s="21" t="s">
        <v>36</v>
      </c>
      <c r="D11" s="72" t="s">
        <v>7</v>
      </c>
      <c r="E11" s="170" t="s">
        <v>37</v>
      </c>
      <c r="F11" s="89" t="s">
        <v>70</v>
      </c>
      <c r="G11" s="88">
        <v>44348</v>
      </c>
      <c r="H11" s="87">
        <v>3</v>
      </c>
      <c r="I11" s="267"/>
      <c r="J11" s="251"/>
      <c r="K11" s="267"/>
      <c r="M11" s="71" t="s">
        <v>71</v>
      </c>
      <c r="N11" s="71"/>
      <c r="O11" s="71"/>
    </row>
    <row r="12" spans="1:26" ht="110.1">
      <c r="A12" s="255"/>
      <c r="B12" s="72" t="s">
        <v>72</v>
      </c>
      <c r="C12" s="21" t="s">
        <v>36</v>
      </c>
      <c r="D12" s="72" t="s">
        <v>7</v>
      </c>
      <c r="E12" s="170" t="s">
        <v>37</v>
      </c>
      <c r="F12" s="86" t="s">
        <v>73</v>
      </c>
      <c r="G12" s="86" t="s">
        <v>74</v>
      </c>
      <c r="H12" s="87">
        <v>4</v>
      </c>
      <c r="I12" s="267"/>
      <c r="J12" s="251"/>
      <c r="K12" s="267"/>
      <c r="M12" s="71" t="s">
        <v>37</v>
      </c>
      <c r="N12" s="71">
        <v>10</v>
      </c>
      <c r="O12" s="71"/>
    </row>
    <row r="13" spans="1:26" ht="44.1">
      <c r="A13" s="255"/>
      <c r="B13" s="72" t="s">
        <v>75</v>
      </c>
      <c r="C13" s="21" t="s">
        <v>36</v>
      </c>
      <c r="D13" s="72" t="s">
        <v>7</v>
      </c>
      <c r="E13" s="170" t="s">
        <v>37</v>
      </c>
      <c r="F13" s="89" t="s">
        <v>76</v>
      </c>
      <c r="G13" s="88">
        <v>43617</v>
      </c>
      <c r="H13" s="87">
        <v>3</v>
      </c>
      <c r="I13" s="267"/>
      <c r="J13" s="251"/>
      <c r="K13" s="267"/>
      <c r="M13" s="71" t="s">
        <v>77</v>
      </c>
      <c r="N13" s="71">
        <v>4</v>
      </c>
      <c r="O13" s="71"/>
    </row>
    <row r="14" spans="1:26" ht="66">
      <c r="A14" s="255"/>
      <c r="B14" s="72" t="s">
        <v>78</v>
      </c>
      <c r="C14" s="21" t="s">
        <v>79</v>
      </c>
      <c r="D14" s="72" t="s">
        <v>7</v>
      </c>
      <c r="E14" s="170" t="s">
        <v>37</v>
      </c>
      <c r="F14" s="89" t="s">
        <v>80</v>
      </c>
      <c r="G14" s="88">
        <v>45604</v>
      </c>
      <c r="H14" s="87">
        <v>2</v>
      </c>
      <c r="I14" s="267"/>
      <c r="J14" s="251"/>
      <c r="K14" s="267"/>
      <c r="M14" s="71" t="s">
        <v>81</v>
      </c>
      <c r="N14" s="71">
        <v>2</v>
      </c>
      <c r="O14" s="71"/>
    </row>
    <row r="15" spans="1:26" ht="44.1">
      <c r="A15" s="256"/>
      <c r="B15" s="73" t="s">
        <v>82</v>
      </c>
      <c r="C15" s="166" t="s">
        <v>36</v>
      </c>
      <c r="D15" s="73" t="s">
        <v>7</v>
      </c>
      <c r="E15" s="171" t="s">
        <v>37</v>
      </c>
      <c r="F15" s="89" t="s">
        <v>83</v>
      </c>
      <c r="G15" s="88">
        <v>44532</v>
      </c>
      <c r="H15" s="87">
        <v>3</v>
      </c>
      <c r="I15" s="268"/>
      <c r="J15" s="251"/>
      <c r="K15" s="268"/>
    </row>
    <row r="16" spans="1:26" ht="21" customHeight="1">
      <c r="A16" s="257" t="s">
        <v>42</v>
      </c>
      <c r="B16" s="74" t="s">
        <v>84</v>
      </c>
      <c r="C16" s="167" t="s">
        <v>85</v>
      </c>
      <c r="D16" s="74" t="s">
        <v>7</v>
      </c>
      <c r="E16" s="172" t="s">
        <v>86</v>
      </c>
      <c r="F16" s="100" t="s">
        <v>87</v>
      </c>
      <c r="G16" s="107">
        <v>44109</v>
      </c>
      <c r="H16" s="90">
        <v>4</v>
      </c>
      <c r="I16" s="269" t="s">
        <v>88</v>
      </c>
      <c r="J16" s="251">
        <v>19</v>
      </c>
      <c r="K16" s="269"/>
    </row>
    <row r="17" spans="1:11" ht="44.1">
      <c r="A17" s="258"/>
      <c r="B17" s="75" t="s">
        <v>89</v>
      </c>
      <c r="C17" s="3" t="s">
        <v>90</v>
      </c>
      <c r="D17" s="75" t="s">
        <v>7</v>
      </c>
      <c r="E17" s="12" t="s">
        <v>91</v>
      </c>
      <c r="F17" s="100" t="s">
        <v>92</v>
      </c>
      <c r="G17" s="109">
        <v>44508</v>
      </c>
      <c r="H17" s="90">
        <v>3</v>
      </c>
      <c r="I17" s="270"/>
      <c r="J17" s="251"/>
      <c r="K17" s="270"/>
    </row>
    <row r="18" spans="1:11" ht="66">
      <c r="A18" s="258"/>
      <c r="B18" s="75" t="s">
        <v>93</v>
      </c>
      <c r="C18" s="3" t="s">
        <v>94</v>
      </c>
      <c r="D18" s="75" t="s">
        <v>7</v>
      </c>
      <c r="E18" s="12" t="s">
        <v>86</v>
      </c>
      <c r="F18" s="100" t="s">
        <v>95</v>
      </c>
      <c r="G18" s="109">
        <v>41183</v>
      </c>
      <c r="H18" s="90">
        <v>4</v>
      </c>
      <c r="I18" s="270"/>
      <c r="J18" s="251"/>
      <c r="K18" s="270"/>
    </row>
    <row r="19" spans="1:11" ht="66">
      <c r="A19" s="258"/>
      <c r="B19" s="75" t="s">
        <v>96</v>
      </c>
      <c r="C19" s="3" t="s">
        <v>59</v>
      </c>
      <c r="D19" s="75" t="s">
        <v>7</v>
      </c>
      <c r="E19" s="12" t="s">
        <v>97</v>
      </c>
      <c r="F19" s="101" t="s">
        <v>98</v>
      </c>
      <c r="G19" s="109">
        <v>44508</v>
      </c>
      <c r="H19" s="90">
        <v>2</v>
      </c>
      <c r="I19" s="270"/>
      <c r="J19" s="251"/>
      <c r="K19" s="270"/>
    </row>
    <row r="20" spans="1:11" ht="66">
      <c r="A20" s="258"/>
      <c r="B20" s="75" t="s">
        <v>99</v>
      </c>
      <c r="C20" s="3" t="s">
        <v>94</v>
      </c>
      <c r="D20" s="75" t="s">
        <v>7</v>
      </c>
      <c r="E20" s="12" t="s">
        <v>100</v>
      </c>
      <c r="F20" s="101" t="s">
        <v>101</v>
      </c>
      <c r="G20" s="90" t="s">
        <v>102</v>
      </c>
      <c r="H20" s="90">
        <v>4</v>
      </c>
      <c r="I20" s="270"/>
      <c r="J20" s="251"/>
      <c r="K20" s="270"/>
    </row>
    <row r="21" spans="1:11" ht="66">
      <c r="A21" s="258"/>
      <c r="B21" s="75" t="s">
        <v>103</v>
      </c>
      <c r="C21" s="3" t="s">
        <v>59</v>
      </c>
      <c r="D21" s="75" t="s">
        <v>7</v>
      </c>
      <c r="E21" s="12" t="s">
        <v>91</v>
      </c>
      <c r="F21" s="105" t="s">
        <v>104</v>
      </c>
      <c r="G21" s="138">
        <v>40665</v>
      </c>
      <c r="H21" s="91">
        <v>4</v>
      </c>
      <c r="I21" s="270"/>
      <c r="J21" s="251"/>
      <c r="K21" s="270"/>
    </row>
    <row r="22" spans="1:11" ht="66">
      <c r="A22" s="258"/>
      <c r="B22" s="75" t="s">
        <v>105</v>
      </c>
      <c r="C22" s="3" t="s">
        <v>59</v>
      </c>
      <c r="D22" s="75" t="s">
        <v>7</v>
      </c>
      <c r="E22" s="147" t="s">
        <v>86</v>
      </c>
      <c r="F22" s="100" t="s">
        <v>106</v>
      </c>
      <c r="G22" s="107">
        <v>42064</v>
      </c>
      <c r="H22" s="90">
        <v>3</v>
      </c>
      <c r="I22" s="271"/>
      <c r="J22" s="251"/>
      <c r="K22" s="271"/>
    </row>
    <row r="23" spans="1:11" s="1" customFormat="1">
      <c r="A23" s="258"/>
      <c r="B23" s="3" t="s">
        <v>107</v>
      </c>
      <c r="C23" s="3" t="s">
        <v>108</v>
      </c>
      <c r="D23" s="3" t="s">
        <v>11</v>
      </c>
      <c r="E23" s="12" t="s">
        <v>86</v>
      </c>
      <c r="F23" s="65"/>
      <c r="G23" s="65"/>
      <c r="H23" s="56"/>
      <c r="I23" s="270"/>
      <c r="J23" s="251"/>
      <c r="K23" s="270"/>
    </row>
    <row r="24" spans="1:11" ht="66">
      <c r="A24" s="258"/>
      <c r="B24" s="75" t="s">
        <v>109</v>
      </c>
      <c r="C24" s="3" t="s">
        <v>59</v>
      </c>
      <c r="D24" s="75" t="s">
        <v>7</v>
      </c>
      <c r="E24" s="147" t="s">
        <v>97</v>
      </c>
      <c r="F24" s="100" t="s">
        <v>110</v>
      </c>
      <c r="G24" s="107">
        <v>44200</v>
      </c>
      <c r="H24" s="90">
        <v>4</v>
      </c>
      <c r="I24" s="271"/>
      <c r="J24" s="251"/>
      <c r="K24" s="271"/>
    </row>
    <row r="25" spans="1:11" s="1" customFormat="1">
      <c r="A25" s="258"/>
      <c r="B25" s="3" t="s">
        <v>111</v>
      </c>
      <c r="C25" s="3" t="s">
        <v>112</v>
      </c>
      <c r="D25" s="3" t="s">
        <v>11</v>
      </c>
      <c r="E25" s="12" t="s">
        <v>86</v>
      </c>
      <c r="F25" s="65"/>
      <c r="G25" s="65"/>
      <c r="H25" s="56"/>
      <c r="I25" s="270"/>
      <c r="J25" s="251"/>
      <c r="K25" s="270"/>
    </row>
    <row r="26" spans="1:11" ht="66">
      <c r="A26" s="258"/>
      <c r="B26" s="75" t="s">
        <v>113</v>
      </c>
      <c r="C26" s="3" t="s">
        <v>114</v>
      </c>
      <c r="D26" s="75" t="s">
        <v>7</v>
      </c>
      <c r="E26" s="147" t="s">
        <v>86</v>
      </c>
      <c r="F26" s="100" t="s">
        <v>115</v>
      </c>
      <c r="G26" s="107">
        <v>44341</v>
      </c>
      <c r="H26" s="90">
        <v>3</v>
      </c>
      <c r="I26" s="271"/>
      <c r="J26" s="251"/>
      <c r="K26" s="271"/>
    </row>
    <row r="27" spans="1:11" ht="44.1">
      <c r="A27" s="258"/>
      <c r="B27" s="75" t="s">
        <v>116</v>
      </c>
      <c r="C27" s="3" t="s">
        <v>85</v>
      </c>
      <c r="D27" s="75" t="s">
        <v>7</v>
      </c>
      <c r="E27" s="147" t="s">
        <v>86</v>
      </c>
      <c r="F27" s="100" t="s">
        <v>117</v>
      </c>
      <c r="G27" s="107">
        <v>44278</v>
      </c>
      <c r="H27" s="90">
        <v>3</v>
      </c>
      <c r="I27" s="271"/>
      <c r="J27" s="251"/>
      <c r="K27" s="271"/>
    </row>
    <row r="28" spans="1:11" ht="66">
      <c r="A28" s="258"/>
      <c r="B28" s="75" t="s">
        <v>118</v>
      </c>
      <c r="C28" s="3" t="s">
        <v>59</v>
      </c>
      <c r="D28" s="75" t="s">
        <v>7</v>
      </c>
      <c r="E28" s="147" t="s">
        <v>119</v>
      </c>
      <c r="F28" s="100" t="s">
        <v>120</v>
      </c>
      <c r="G28" s="107">
        <v>41386</v>
      </c>
      <c r="H28" s="90">
        <v>4</v>
      </c>
      <c r="I28" s="271"/>
      <c r="J28" s="251"/>
      <c r="K28" s="271"/>
    </row>
    <row r="29" spans="1:11" s="1" customFormat="1">
      <c r="A29" s="258"/>
      <c r="B29" s="3" t="s">
        <v>121</v>
      </c>
      <c r="C29" s="3" t="s">
        <v>112</v>
      </c>
      <c r="D29" s="3" t="s">
        <v>11</v>
      </c>
      <c r="E29" s="12" t="s">
        <v>97</v>
      </c>
      <c r="F29" s="65"/>
      <c r="G29" s="65"/>
      <c r="H29" s="56"/>
      <c r="I29" s="270"/>
      <c r="J29" s="251"/>
      <c r="K29" s="270"/>
    </row>
    <row r="30" spans="1:11" ht="44.1">
      <c r="A30" s="258"/>
      <c r="B30" s="75" t="s">
        <v>122</v>
      </c>
      <c r="C30" s="3" t="s">
        <v>85</v>
      </c>
      <c r="D30" s="75" t="s">
        <v>7</v>
      </c>
      <c r="E30" s="147" t="s">
        <v>97</v>
      </c>
      <c r="F30" s="100" t="s">
        <v>123</v>
      </c>
      <c r="G30" s="107">
        <v>45566</v>
      </c>
      <c r="H30" s="90">
        <v>2</v>
      </c>
      <c r="I30" s="271"/>
      <c r="J30" s="251"/>
      <c r="K30" s="271"/>
    </row>
    <row r="31" spans="1:11" ht="44.1">
      <c r="A31" s="258"/>
      <c r="B31" s="75" t="s">
        <v>124</v>
      </c>
      <c r="C31" s="3" t="s">
        <v>114</v>
      </c>
      <c r="D31" s="75" t="s">
        <v>7</v>
      </c>
      <c r="E31" s="147" t="s">
        <v>97</v>
      </c>
      <c r="F31" s="100" t="s">
        <v>125</v>
      </c>
      <c r="G31" s="107">
        <v>44237</v>
      </c>
      <c r="H31" s="90">
        <v>2</v>
      </c>
      <c r="I31" s="271"/>
      <c r="J31" s="251"/>
      <c r="K31" s="271"/>
    </row>
    <row r="32" spans="1:11" ht="66">
      <c r="A32" s="258"/>
      <c r="B32" s="75" t="s">
        <v>126</v>
      </c>
      <c r="C32" s="3" t="s">
        <v>59</v>
      </c>
      <c r="D32" s="75" t="s">
        <v>7</v>
      </c>
      <c r="E32" s="147" t="s">
        <v>86</v>
      </c>
      <c r="F32" s="100" t="s">
        <v>127</v>
      </c>
      <c r="G32" s="107">
        <v>43248</v>
      </c>
      <c r="H32" s="90">
        <v>4</v>
      </c>
      <c r="I32" s="271"/>
      <c r="J32" s="251"/>
      <c r="K32" s="271"/>
    </row>
    <row r="33" spans="1:11" ht="44.1">
      <c r="A33" s="258"/>
      <c r="B33" s="75" t="s">
        <v>128</v>
      </c>
      <c r="C33" s="3" t="s">
        <v>85</v>
      </c>
      <c r="D33" s="75" t="s">
        <v>7</v>
      </c>
      <c r="E33" s="147" t="s">
        <v>86</v>
      </c>
      <c r="F33" s="100" t="s">
        <v>123</v>
      </c>
      <c r="G33" s="107">
        <v>44237</v>
      </c>
      <c r="H33" s="90">
        <v>2</v>
      </c>
      <c r="I33" s="271"/>
      <c r="J33" s="251"/>
      <c r="K33" s="271"/>
    </row>
    <row r="34" spans="1:11" s="1" customFormat="1">
      <c r="A34" s="259"/>
      <c r="B34" s="13" t="s">
        <v>129</v>
      </c>
      <c r="C34" s="13" t="s">
        <v>108</v>
      </c>
      <c r="D34" s="13" t="s">
        <v>11</v>
      </c>
      <c r="E34" s="14" t="s">
        <v>130</v>
      </c>
      <c r="F34" s="106"/>
      <c r="G34" s="106"/>
      <c r="H34" s="57"/>
      <c r="I34" s="272"/>
      <c r="J34" s="251"/>
      <c r="K34" s="272"/>
    </row>
    <row r="35" spans="1:11" s="1" customFormat="1" ht="21" customHeight="1">
      <c r="A35" s="260" t="s">
        <v>46</v>
      </c>
      <c r="B35" s="15" t="s">
        <v>131</v>
      </c>
      <c r="C35" s="15" t="s">
        <v>112</v>
      </c>
      <c r="D35" s="198" t="s">
        <v>11</v>
      </c>
      <c r="E35" s="199" t="s">
        <v>132</v>
      </c>
      <c r="F35" s="58"/>
      <c r="G35" s="58"/>
      <c r="H35" s="58"/>
      <c r="I35" s="273" t="s">
        <v>133</v>
      </c>
      <c r="J35" s="281">
        <v>17</v>
      </c>
      <c r="K35" s="273"/>
    </row>
    <row r="36" spans="1:11" ht="150" customHeight="1">
      <c r="A36" s="261"/>
      <c r="B36" s="76" t="s">
        <v>134</v>
      </c>
      <c r="C36" s="159" t="s">
        <v>59</v>
      </c>
      <c r="D36" s="192" t="s">
        <v>7</v>
      </c>
      <c r="E36" s="193" t="s">
        <v>50</v>
      </c>
      <c r="F36" s="194" t="s">
        <v>135</v>
      </c>
      <c r="G36" s="195">
        <v>41813</v>
      </c>
      <c r="H36" s="197">
        <v>4</v>
      </c>
      <c r="I36" s="274"/>
      <c r="J36" s="281"/>
      <c r="K36" s="274"/>
    </row>
    <row r="37" spans="1:11" ht="105.75" customHeight="1">
      <c r="A37" s="261"/>
      <c r="B37" s="76" t="s">
        <v>136</v>
      </c>
      <c r="C37" s="159" t="s">
        <v>85</v>
      </c>
      <c r="D37" s="192" t="s">
        <v>7</v>
      </c>
      <c r="E37" s="193" t="s">
        <v>137</v>
      </c>
      <c r="F37" s="196" t="s">
        <v>138</v>
      </c>
      <c r="G37" s="195">
        <v>45078</v>
      </c>
      <c r="H37" s="197">
        <v>2</v>
      </c>
      <c r="I37" s="275"/>
      <c r="J37" s="281"/>
      <c r="K37" s="275"/>
    </row>
    <row r="38" spans="1:11" s="1" customFormat="1">
      <c r="A38" s="261"/>
      <c r="B38" s="4" t="s">
        <v>139</v>
      </c>
      <c r="C38" s="159" t="s">
        <v>140</v>
      </c>
      <c r="D38" s="193" t="s">
        <v>11</v>
      </c>
      <c r="E38" s="193" t="s">
        <v>50</v>
      </c>
      <c r="F38" s="205"/>
      <c r="G38" s="205"/>
      <c r="H38" s="58"/>
      <c r="I38" s="275"/>
      <c r="J38" s="281"/>
      <c r="K38" s="275"/>
    </row>
    <row r="39" spans="1:11" ht="132">
      <c r="A39" s="261"/>
      <c r="B39" s="76" t="s">
        <v>141</v>
      </c>
      <c r="C39" s="159" t="s">
        <v>59</v>
      </c>
      <c r="D39" s="192" t="s">
        <v>7</v>
      </c>
      <c r="E39" s="202" t="s">
        <v>142</v>
      </c>
      <c r="F39" s="196" t="s">
        <v>143</v>
      </c>
      <c r="G39" s="195">
        <v>44456</v>
      </c>
      <c r="H39" s="201">
        <v>4</v>
      </c>
      <c r="I39" s="274"/>
      <c r="J39" s="281"/>
      <c r="K39" s="275"/>
    </row>
    <row r="40" spans="1:11" ht="110.1">
      <c r="A40" s="261"/>
      <c r="B40" s="76" t="s">
        <v>144</v>
      </c>
      <c r="C40" s="159" t="s">
        <v>59</v>
      </c>
      <c r="D40" s="192" t="s">
        <v>7</v>
      </c>
      <c r="E40" s="202" t="s">
        <v>50</v>
      </c>
      <c r="F40" s="196" t="s">
        <v>145</v>
      </c>
      <c r="G40" s="195">
        <v>44013</v>
      </c>
      <c r="H40" s="201">
        <v>3</v>
      </c>
      <c r="I40" s="274"/>
      <c r="J40" s="281"/>
      <c r="K40" s="275"/>
    </row>
    <row r="41" spans="1:11" ht="66">
      <c r="A41" s="261"/>
      <c r="B41" s="76" t="s">
        <v>146</v>
      </c>
      <c r="C41" s="4" t="s">
        <v>114</v>
      </c>
      <c r="D41" s="200" t="s">
        <v>7</v>
      </c>
      <c r="E41" s="203" t="s">
        <v>147</v>
      </c>
      <c r="F41" s="196" t="s">
        <v>148</v>
      </c>
      <c r="G41" s="195">
        <v>45915</v>
      </c>
      <c r="H41" s="201">
        <v>2</v>
      </c>
      <c r="I41" s="274"/>
      <c r="J41" s="281"/>
      <c r="K41" s="275"/>
    </row>
    <row r="42" spans="1:11" ht="87.95">
      <c r="A42" s="261"/>
      <c r="B42" s="76" t="s">
        <v>149</v>
      </c>
      <c r="C42" s="4" t="s">
        <v>59</v>
      </c>
      <c r="D42" s="76" t="s">
        <v>7</v>
      </c>
      <c r="E42" s="159" t="s">
        <v>50</v>
      </c>
      <c r="F42" s="196" t="s">
        <v>150</v>
      </c>
      <c r="G42" s="195">
        <v>42153</v>
      </c>
      <c r="H42" s="201">
        <v>2</v>
      </c>
      <c r="I42" s="274"/>
      <c r="J42" s="281"/>
      <c r="K42" s="275"/>
    </row>
    <row r="43" spans="1:11" ht="44.1">
      <c r="A43" s="261"/>
      <c r="B43" s="76" t="s">
        <v>151</v>
      </c>
      <c r="C43" s="4" t="s">
        <v>59</v>
      </c>
      <c r="D43" s="76" t="s">
        <v>7</v>
      </c>
      <c r="E43" s="159" t="s">
        <v>50</v>
      </c>
      <c r="F43" s="196" t="s">
        <v>152</v>
      </c>
      <c r="G43" s="195">
        <v>44278</v>
      </c>
      <c r="H43" s="201">
        <v>2</v>
      </c>
      <c r="I43" s="274"/>
      <c r="J43" s="281"/>
      <c r="K43" s="275"/>
    </row>
    <row r="44" spans="1:11" ht="110.1">
      <c r="A44" s="261"/>
      <c r="B44" s="76" t="s">
        <v>153</v>
      </c>
      <c r="C44" s="4" t="s">
        <v>94</v>
      </c>
      <c r="D44" s="76" t="s">
        <v>7</v>
      </c>
      <c r="E44" s="159" t="s">
        <v>137</v>
      </c>
      <c r="F44" s="196" t="s">
        <v>154</v>
      </c>
      <c r="G44" s="195">
        <v>40959</v>
      </c>
      <c r="H44" s="201">
        <v>4</v>
      </c>
      <c r="I44" s="274"/>
      <c r="J44" s="281"/>
      <c r="K44" s="275"/>
    </row>
    <row r="45" spans="1:11" ht="87.95">
      <c r="A45" s="261"/>
      <c r="B45" s="76" t="s">
        <v>155</v>
      </c>
      <c r="C45" s="4" t="s">
        <v>59</v>
      </c>
      <c r="D45" s="76" t="s">
        <v>7</v>
      </c>
      <c r="E45" s="159" t="s">
        <v>50</v>
      </c>
      <c r="F45" s="196" t="s">
        <v>156</v>
      </c>
      <c r="G45" s="195">
        <v>42153</v>
      </c>
      <c r="H45" s="201">
        <v>2</v>
      </c>
      <c r="I45" s="274"/>
      <c r="J45" s="281"/>
      <c r="K45" s="275"/>
    </row>
    <row r="46" spans="1:11" ht="132">
      <c r="A46" s="261"/>
      <c r="B46" s="76" t="s">
        <v>157</v>
      </c>
      <c r="C46" s="4" t="s">
        <v>94</v>
      </c>
      <c r="D46" s="76" t="s">
        <v>7</v>
      </c>
      <c r="E46" s="159" t="s">
        <v>50</v>
      </c>
      <c r="F46" s="196" t="s">
        <v>158</v>
      </c>
      <c r="G46" s="195">
        <v>40436</v>
      </c>
      <c r="H46" s="201">
        <v>4</v>
      </c>
      <c r="I46" s="274"/>
      <c r="J46" s="281"/>
      <c r="K46" s="275"/>
    </row>
    <row r="47" spans="1:11" ht="176.1">
      <c r="A47" s="261"/>
      <c r="B47" s="76" t="s">
        <v>159</v>
      </c>
      <c r="C47" s="4" t="s">
        <v>160</v>
      </c>
      <c r="D47" s="76" t="s">
        <v>7</v>
      </c>
      <c r="E47" s="159" t="s">
        <v>161</v>
      </c>
      <c r="F47" s="196" t="s">
        <v>162</v>
      </c>
      <c r="G47" s="195">
        <v>41064</v>
      </c>
      <c r="H47" s="201">
        <v>4</v>
      </c>
      <c r="I47" s="274"/>
      <c r="J47" s="281"/>
      <c r="K47" s="275"/>
    </row>
    <row r="48" spans="1:11" s="1" customFormat="1">
      <c r="A48" s="261"/>
      <c r="B48" s="4" t="s">
        <v>163</v>
      </c>
      <c r="C48" s="4" t="s">
        <v>164</v>
      </c>
      <c r="D48" s="4" t="s">
        <v>11</v>
      </c>
      <c r="E48" s="159" t="s">
        <v>137</v>
      </c>
      <c r="F48" s="193"/>
      <c r="G48" s="193"/>
      <c r="H48" s="193"/>
      <c r="I48" s="274"/>
      <c r="J48" s="281"/>
      <c r="K48" s="275"/>
    </row>
    <row r="49" spans="1:11" ht="153.94999999999999">
      <c r="A49" s="261"/>
      <c r="B49" s="76" t="s">
        <v>165</v>
      </c>
      <c r="C49" s="4" t="s">
        <v>59</v>
      </c>
      <c r="D49" s="76" t="s">
        <v>7</v>
      </c>
      <c r="E49" s="159" t="s">
        <v>166</v>
      </c>
      <c r="F49" s="196" t="s">
        <v>167</v>
      </c>
      <c r="G49" s="195">
        <v>44343</v>
      </c>
      <c r="H49" s="201">
        <v>4</v>
      </c>
      <c r="I49" s="274"/>
      <c r="J49" s="281"/>
      <c r="K49" s="275"/>
    </row>
    <row r="50" spans="1:11" ht="87.95">
      <c r="A50" s="261"/>
      <c r="B50" s="76" t="s">
        <v>168</v>
      </c>
      <c r="C50" s="4" t="s">
        <v>59</v>
      </c>
      <c r="D50" s="76" t="s">
        <v>7</v>
      </c>
      <c r="E50" s="159" t="s">
        <v>166</v>
      </c>
      <c r="F50" s="196" t="s">
        <v>169</v>
      </c>
      <c r="G50" s="195">
        <v>43084</v>
      </c>
      <c r="H50" s="201">
        <v>3</v>
      </c>
      <c r="I50" s="274"/>
      <c r="J50" s="281"/>
      <c r="K50" s="275"/>
    </row>
    <row r="51" spans="1:11" ht="87.95">
      <c r="A51" s="262"/>
      <c r="B51" s="80" t="s">
        <v>170</v>
      </c>
      <c r="C51" s="168" t="s">
        <v>85</v>
      </c>
      <c r="D51" s="80" t="s">
        <v>7</v>
      </c>
      <c r="E51" s="204" t="s">
        <v>137</v>
      </c>
      <c r="F51" s="196" t="s">
        <v>171</v>
      </c>
      <c r="G51" s="195">
        <v>45293</v>
      </c>
      <c r="H51" s="201">
        <v>3</v>
      </c>
      <c r="I51" s="276"/>
      <c r="J51" s="281"/>
      <c r="K51" s="283"/>
    </row>
    <row r="52" spans="1:11" ht="107.25" customHeight="1">
      <c r="A52" s="263" t="s">
        <v>49</v>
      </c>
      <c r="B52" s="186" t="s">
        <v>172</v>
      </c>
      <c r="C52" s="187" t="s">
        <v>59</v>
      </c>
      <c r="D52" s="186" t="s">
        <v>7</v>
      </c>
      <c r="E52" s="188" t="s">
        <v>173</v>
      </c>
      <c r="F52" s="206" t="s">
        <v>174</v>
      </c>
      <c r="G52" s="206"/>
      <c r="H52" s="206">
        <v>3</v>
      </c>
      <c r="I52" s="277" t="s">
        <v>175</v>
      </c>
      <c r="J52" s="281">
        <v>48</v>
      </c>
      <c r="K52" s="277"/>
    </row>
    <row r="53" spans="1:11" ht="66">
      <c r="A53" s="264"/>
      <c r="B53" s="189" t="s">
        <v>176</v>
      </c>
      <c r="C53" s="190" t="s">
        <v>59</v>
      </c>
      <c r="D53" s="189" t="s">
        <v>7</v>
      </c>
      <c r="E53" s="191" t="s">
        <v>177</v>
      </c>
      <c r="F53" s="185" t="s">
        <v>178</v>
      </c>
      <c r="G53" s="92"/>
      <c r="H53" s="92">
        <v>4</v>
      </c>
      <c r="I53" s="278"/>
      <c r="J53" s="281"/>
      <c r="K53" s="278"/>
    </row>
    <row r="54" spans="1:11" ht="87.95">
      <c r="A54" s="264"/>
      <c r="B54" s="186" t="s">
        <v>179</v>
      </c>
      <c r="C54" s="187" t="s">
        <v>59</v>
      </c>
      <c r="D54" s="186" t="s">
        <v>7</v>
      </c>
      <c r="E54" s="188" t="s">
        <v>45</v>
      </c>
      <c r="F54" s="185" t="s">
        <v>180</v>
      </c>
      <c r="G54" s="185"/>
      <c r="H54" s="185">
        <v>4</v>
      </c>
      <c r="I54" s="278"/>
      <c r="J54" s="281"/>
      <c r="K54" s="278"/>
    </row>
    <row r="55" spans="1:11" ht="110.1">
      <c r="A55" s="264"/>
      <c r="B55" s="189" t="s">
        <v>181</v>
      </c>
      <c r="C55" s="190" t="s">
        <v>59</v>
      </c>
      <c r="D55" s="189" t="s">
        <v>7</v>
      </c>
      <c r="E55" s="191" t="s">
        <v>173</v>
      </c>
      <c r="F55" s="185" t="s">
        <v>182</v>
      </c>
      <c r="G55" s="92"/>
      <c r="H55" s="92">
        <v>3</v>
      </c>
      <c r="I55" s="278"/>
      <c r="J55" s="281"/>
      <c r="K55" s="278"/>
    </row>
    <row r="56" spans="1:11" ht="87.95">
      <c r="A56" s="264"/>
      <c r="B56" s="186" t="s">
        <v>183</v>
      </c>
      <c r="C56" s="187" t="s">
        <v>59</v>
      </c>
      <c r="D56" s="186" t="s">
        <v>7</v>
      </c>
      <c r="E56" s="188" t="s">
        <v>48</v>
      </c>
      <c r="F56" s="185" t="s">
        <v>184</v>
      </c>
      <c r="G56" s="185"/>
      <c r="H56" s="185">
        <v>3</v>
      </c>
      <c r="I56" s="278"/>
      <c r="J56" s="281"/>
      <c r="K56" s="278"/>
    </row>
    <row r="57" spans="1:11" ht="121.5" customHeight="1">
      <c r="A57" s="264"/>
      <c r="B57" s="189" t="s">
        <v>185</v>
      </c>
      <c r="C57" s="190" t="s">
        <v>59</v>
      </c>
      <c r="D57" s="189" t="s">
        <v>7</v>
      </c>
      <c r="E57" s="191" t="s">
        <v>40</v>
      </c>
      <c r="F57" s="185" t="s">
        <v>186</v>
      </c>
      <c r="G57" s="92"/>
      <c r="H57" s="92">
        <v>4</v>
      </c>
      <c r="I57" s="278"/>
      <c r="J57" s="281"/>
      <c r="K57" s="278"/>
    </row>
    <row r="58" spans="1:11" ht="110.1">
      <c r="A58" s="264"/>
      <c r="B58" s="186" t="s">
        <v>187</v>
      </c>
      <c r="C58" s="187" t="s">
        <v>114</v>
      </c>
      <c r="D58" s="186" t="s">
        <v>7</v>
      </c>
      <c r="E58" s="188" t="s">
        <v>48</v>
      </c>
      <c r="F58" s="185" t="s">
        <v>188</v>
      </c>
      <c r="G58" s="185"/>
      <c r="H58" s="185">
        <v>3</v>
      </c>
      <c r="I58" s="278"/>
      <c r="J58" s="281"/>
      <c r="K58" s="278"/>
    </row>
    <row r="59" spans="1:11" ht="66">
      <c r="A59" s="264"/>
      <c r="B59" s="189" t="s">
        <v>189</v>
      </c>
      <c r="C59" s="190" t="s">
        <v>114</v>
      </c>
      <c r="D59" s="189" t="s">
        <v>7</v>
      </c>
      <c r="E59" s="191" t="s">
        <v>190</v>
      </c>
      <c r="F59" s="185" t="s">
        <v>191</v>
      </c>
      <c r="G59" s="92"/>
      <c r="H59" s="92">
        <v>2</v>
      </c>
      <c r="I59" s="278"/>
      <c r="J59" s="281"/>
      <c r="K59" s="278"/>
    </row>
    <row r="60" spans="1:11" ht="110.1">
      <c r="A60" s="264"/>
      <c r="B60" s="186" t="s">
        <v>192</v>
      </c>
      <c r="C60" s="187" t="s">
        <v>59</v>
      </c>
      <c r="D60" s="186" t="s">
        <v>7</v>
      </c>
      <c r="E60" s="188" t="s">
        <v>48</v>
      </c>
      <c r="F60" s="185" t="s">
        <v>193</v>
      </c>
      <c r="G60" s="185"/>
      <c r="H60" s="185">
        <v>3</v>
      </c>
      <c r="I60" s="278"/>
      <c r="J60" s="281"/>
      <c r="K60" s="278"/>
    </row>
    <row r="61" spans="1:11" ht="87.95">
      <c r="A61" s="264"/>
      <c r="B61" s="189" t="s">
        <v>194</v>
      </c>
      <c r="C61" s="190" t="s">
        <v>114</v>
      </c>
      <c r="D61" s="189" t="s">
        <v>7</v>
      </c>
      <c r="E61" s="191" t="s">
        <v>48</v>
      </c>
      <c r="F61" s="185" t="s">
        <v>195</v>
      </c>
      <c r="G61" s="92"/>
      <c r="H61" s="92">
        <v>2</v>
      </c>
      <c r="I61" s="278"/>
      <c r="J61" s="281"/>
      <c r="K61" s="278"/>
    </row>
    <row r="62" spans="1:11" s="1" customFormat="1" ht="21.95">
      <c r="A62" s="264"/>
      <c r="B62" s="186" t="s">
        <v>196</v>
      </c>
      <c r="C62" s="187" t="s">
        <v>112</v>
      </c>
      <c r="D62" s="187" t="s">
        <v>11</v>
      </c>
      <c r="E62" s="188" t="s">
        <v>197</v>
      </c>
      <c r="F62" s="185"/>
      <c r="G62" s="185"/>
      <c r="H62" s="185"/>
      <c r="I62" s="279"/>
      <c r="J62" s="281"/>
      <c r="K62" s="279"/>
    </row>
    <row r="63" spans="1:11" s="1" customFormat="1">
      <c r="A63" s="264"/>
      <c r="B63" s="189" t="s">
        <v>198</v>
      </c>
      <c r="C63" s="190" t="s">
        <v>140</v>
      </c>
      <c r="D63" s="190" t="s">
        <v>11</v>
      </c>
      <c r="E63" s="191" t="s">
        <v>45</v>
      </c>
      <c r="F63" s="185"/>
      <c r="G63" s="92"/>
      <c r="H63" s="92"/>
      <c r="I63" s="279"/>
      <c r="J63" s="281"/>
      <c r="K63" s="279"/>
    </row>
    <row r="64" spans="1:11" ht="110.1">
      <c r="A64" s="264"/>
      <c r="B64" s="186" t="s">
        <v>199</v>
      </c>
      <c r="C64" s="187" t="s">
        <v>59</v>
      </c>
      <c r="D64" s="186" t="s">
        <v>7</v>
      </c>
      <c r="E64" s="188" t="s">
        <v>40</v>
      </c>
      <c r="F64" s="185" t="s">
        <v>200</v>
      </c>
      <c r="G64" s="185"/>
      <c r="H64" s="185">
        <v>3</v>
      </c>
      <c r="I64" s="278"/>
      <c r="J64" s="281"/>
      <c r="K64" s="278"/>
    </row>
    <row r="65" spans="1:11" ht="132">
      <c r="A65" s="264"/>
      <c r="B65" s="189" t="s">
        <v>201</v>
      </c>
      <c r="C65" s="190" t="s">
        <v>59</v>
      </c>
      <c r="D65" s="189" t="s">
        <v>7</v>
      </c>
      <c r="E65" s="191" t="s">
        <v>45</v>
      </c>
      <c r="F65" s="185" t="s">
        <v>202</v>
      </c>
      <c r="G65" s="92"/>
      <c r="H65" s="92">
        <v>4</v>
      </c>
      <c r="I65" s="278"/>
      <c r="J65" s="281"/>
      <c r="K65" s="278"/>
    </row>
    <row r="66" spans="1:11" ht="132">
      <c r="A66" s="264"/>
      <c r="B66" s="186" t="s">
        <v>203</v>
      </c>
      <c r="C66" s="187" t="s">
        <v>94</v>
      </c>
      <c r="D66" s="186" t="s">
        <v>7</v>
      </c>
      <c r="E66" s="188" t="s">
        <v>48</v>
      </c>
      <c r="F66" s="185" t="s">
        <v>204</v>
      </c>
      <c r="G66" s="185"/>
      <c r="H66" s="185">
        <v>4</v>
      </c>
      <c r="I66" s="278"/>
      <c r="J66" s="281"/>
      <c r="K66" s="278"/>
    </row>
    <row r="67" spans="1:11" ht="66">
      <c r="A67" s="264"/>
      <c r="B67" s="189" t="s">
        <v>205</v>
      </c>
      <c r="C67" s="190" t="s">
        <v>59</v>
      </c>
      <c r="D67" s="189" t="s">
        <v>7</v>
      </c>
      <c r="E67" s="191" t="s">
        <v>48</v>
      </c>
      <c r="F67" s="185" t="s">
        <v>206</v>
      </c>
      <c r="G67" s="92"/>
      <c r="H67" s="92">
        <v>3</v>
      </c>
      <c r="I67" s="278"/>
      <c r="J67" s="281"/>
      <c r="K67" s="278"/>
    </row>
    <row r="68" spans="1:11" s="1" customFormat="1" ht="21.95">
      <c r="A68" s="264"/>
      <c r="B68" s="186" t="s">
        <v>207</v>
      </c>
      <c r="C68" s="187" t="s">
        <v>208</v>
      </c>
      <c r="D68" s="187" t="s">
        <v>11</v>
      </c>
      <c r="E68" s="188" t="s">
        <v>209</v>
      </c>
      <c r="F68" s="185"/>
      <c r="G68" s="185"/>
      <c r="H68" s="185"/>
      <c r="I68" s="279"/>
      <c r="J68" s="281"/>
      <c r="K68" s="279"/>
    </row>
    <row r="69" spans="1:11" s="1" customFormat="1">
      <c r="A69" s="264"/>
      <c r="B69" s="189" t="s">
        <v>210</v>
      </c>
      <c r="C69" s="190" t="s">
        <v>164</v>
      </c>
      <c r="D69" s="190" t="s">
        <v>11</v>
      </c>
      <c r="E69" s="191" t="s">
        <v>40</v>
      </c>
      <c r="F69" s="185"/>
      <c r="G69" s="92"/>
      <c r="H69" s="92"/>
      <c r="I69" s="279"/>
      <c r="J69" s="281"/>
      <c r="K69" s="279"/>
    </row>
    <row r="70" spans="1:11" s="1" customFormat="1" ht="21.95">
      <c r="A70" s="264"/>
      <c r="B70" s="186" t="s">
        <v>211</v>
      </c>
      <c r="C70" s="187" t="s">
        <v>112</v>
      </c>
      <c r="D70" s="187" t="s">
        <v>11</v>
      </c>
      <c r="E70" s="188" t="s">
        <v>212</v>
      </c>
      <c r="F70" s="185"/>
      <c r="G70" s="185"/>
      <c r="H70" s="185"/>
      <c r="I70" s="279"/>
      <c r="J70" s="281"/>
      <c r="K70" s="279"/>
    </row>
    <row r="71" spans="1:11" ht="66">
      <c r="A71" s="264"/>
      <c r="B71" s="189" t="s">
        <v>213</v>
      </c>
      <c r="C71" s="190" t="s">
        <v>214</v>
      </c>
      <c r="D71" s="189" t="s">
        <v>7</v>
      </c>
      <c r="E71" s="191" t="s">
        <v>40</v>
      </c>
      <c r="F71" s="185" t="s">
        <v>215</v>
      </c>
      <c r="G71" s="92"/>
      <c r="H71" s="92">
        <v>2</v>
      </c>
      <c r="I71" s="278"/>
      <c r="J71" s="281"/>
      <c r="K71" s="278"/>
    </row>
    <row r="72" spans="1:11" ht="110.1">
      <c r="A72" s="264"/>
      <c r="B72" s="186" t="s">
        <v>216</v>
      </c>
      <c r="C72" s="187" t="s">
        <v>85</v>
      </c>
      <c r="D72" s="186" t="s">
        <v>7</v>
      </c>
      <c r="E72" s="188" t="s">
        <v>45</v>
      </c>
      <c r="F72" s="185" t="s">
        <v>217</v>
      </c>
      <c r="G72" s="185"/>
      <c r="H72" s="185">
        <v>3</v>
      </c>
      <c r="I72" s="278"/>
      <c r="J72" s="281"/>
      <c r="K72" s="278"/>
    </row>
    <row r="73" spans="1:11" ht="87.95">
      <c r="A73" s="264"/>
      <c r="B73" s="189" t="s">
        <v>218</v>
      </c>
      <c r="C73" s="190" t="s">
        <v>59</v>
      </c>
      <c r="D73" s="189" t="s">
        <v>7</v>
      </c>
      <c r="E73" s="191" t="s">
        <v>48</v>
      </c>
      <c r="F73" s="185" t="s">
        <v>219</v>
      </c>
      <c r="G73" s="92"/>
      <c r="H73" s="92">
        <v>2</v>
      </c>
      <c r="I73" s="278"/>
      <c r="J73" s="281"/>
      <c r="K73" s="278"/>
    </row>
    <row r="74" spans="1:11" ht="132">
      <c r="A74" s="264"/>
      <c r="B74" s="186" t="s">
        <v>220</v>
      </c>
      <c r="C74" s="187" t="s">
        <v>59</v>
      </c>
      <c r="D74" s="186" t="s">
        <v>7</v>
      </c>
      <c r="E74" s="188" t="s">
        <v>197</v>
      </c>
      <c r="F74" s="185" t="s">
        <v>221</v>
      </c>
      <c r="G74" s="185"/>
      <c r="H74" s="185">
        <v>3</v>
      </c>
      <c r="I74" s="278"/>
      <c r="J74" s="281"/>
      <c r="K74" s="278"/>
    </row>
    <row r="75" spans="1:11" s="1" customFormat="1">
      <c r="A75" s="264"/>
      <c r="B75" s="189" t="s">
        <v>222</v>
      </c>
      <c r="C75" s="190" t="s">
        <v>140</v>
      </c>
      <c r="D75" s="190" t="s">
        <v>11</v>
      </c>
      <c r="E75" s="191" t="s">
        <v>40</v>
      </c>
      <c r="F75" s="185"/>
      <c r="G75" s="92"/>
      <c r="H75" s="92"/>
      <c r="I75" s="279"/>
      <c r="J75" s="281"/>
      <c r="K75" s="279"/>
    </row>
    <row r="76" spans="1:11" s="1" customFormat="1" ht="21.95">
      <c r="A76" s="264"/>
      <c r="B76" s="186" t="s">
        <v>223</v>
      </c>
      <c r="C76" s="187" t="s">
        <v>112</v>
      </c>
      <c r="D76" s="187" t="s">
        <v>11</v>
      </c>
      <c r="E76" s="188" t="s">
        <v>224</v>
      </c>
      <c r="F76" s="185"/>
      <c r="G76" s="185"/>
      <c r="H76" s="185"/>
      <c r="I76" s="279"/>
      <c r="J76" s="281"/>
      <c r="K76" s="279"/>
    </row>
    <row r="77" spans="1:11" ht="66">
      <c r="A77" s="264"/>
      <c r="B77" s="189" t="s">
        <v>225</v>
      </c>
      <c r="C77" s="190" t="s">
        <v>85</v>
      </c>
      <c r="D77" s="189" t="s">
        <v>7</v>
      </c>
      <c r="E77" s="191" t="s">
        <v>226</v>
      </c>
      <c r="F77" s="185" t="s">
        <v>227</v>
      </c>
      <c r="G77" s="92"/>
      <c r="H77" s="92">
        <v>2</v>
      </c>
      <c r="I77" s="278"/>
      <c r="J77" s="281"/>
      <c r="K77" s="278"/>
    </row>
    <row r="78" spans="1:11" ht="87.95">
      <c r="A78" s="264"/>
      <c r="B78" s="186" t="s">
        <v>228</v>
      </c>
      <c r="C78" s="187" t="s">
        <v>85</v>
      </c>
      <c r="D78" s="186" t="s">
        <v>7</v>
      </c>
      <c r="E78" s="188" t="s">
        <v>229</v>
      </c>
      <c r="F78" s="185" t="s">
        <v>230</v>
      </c>
      <c r="G78" s="185"/>
      <c r="H78" s="185">
        <v>3</v>
      </c>
      <c r="I78" s="278"/>
      <c r="J78" s="281"/>
      <c r="K78" s="278"/>
    </row>
    <row r="79" spans="1:11" ht="110.1">
      <c r="A79" s="264"/>
      <c r="B79" s="189" t="s">
        <v>231</v>
      </c>
      <c r="C79" s="190" t="s">
        <v>85</v>
      </c>
      <c r="D79" s="189" t="s">
        <v>7</v>
      </c>
      <c r="E79" s="191" t="s">
        <v>48</v>
      </c>
      <c r="F79" s="185" t="s">
        <v>232</v>
      </c>
      <c r="G79" s="92"/>
      <c r="H79" s="92">
        <v>3</v>
      </c>
      <c r="I79" s="278"/>
      <c r="J79" s="281"/>
      <c r="K79" s="278"/>
    </row>
    <row r="80" spans="1:11" ht="44.1">
      <c r="A80" s="264"/>
      <c r="B80" s="186" t="s">
        <v>233</v>
      </c>
      <c r="C80" s="187" t="s">
        <v>59</v>
      </c>
      <c r="D80" s="186" t="s">
        <v>7</v>
      </c>
      <c r="E80" s="188" t="s">
        <v>234</v>
      </c>
      <c r="F80" s="185" t="s">
        <v>123</v>
      </c>
      <c r="G80" s="185"/>
      <c r="H80" s="185">
        <v>2</v>
      </c>
      <c r="I80" s="278"/>
      <c r="J80" s="281"/>
      <c r="K80" s="278"/>
    </row>
    <row r="81" spans="1:11" ht="132">
      <c r="A81" s="264"/>
      <c r="B81" s="189" t="s">
        <v>235</v>
      </c>
      <c r="C81" s="190" t="s">
        <v>59</v>
      </c>
      <c r="D81" s="189" t="s">
        <v>7</v>
      </c>
      <c r="E81" s="191" t="s">
        <v>48</v>
      </c>
      <c r="F81" s="185" t="s">
        <v>236</v>
      </c>
      <c r="G81" s="92"/>
      <c r="H81" s="92">
        <v>3</v>
      </c>
      <c r="I81" s="278"/>
      <c r="J81" s="281"/>
      <c r="K81" s="278"/>
    </row>
    <row r="82" spans="1:11" s="1" customFormat="1" ht="21.95">
      <c r="A82" s="264"/>
      <c r="B82" s="186" t="s">
        <v>237</v>
      </c>
      <c r="C82" s="187" t="s">
        <v>112</v>
      </c>
      <c r="D82" s="187" t="s">
        <v>11</v>
      </c>
      <c r="E82" s="188" t="s">
        <v>45</v>
      </c>
      <c r="F82" s="185"/>
      <c r="G82" s="185"/>
      <c r="H82" s="185"/>
      <c r="I82" s="279"/>
      <c r="J82" s="281"/>
      <c r="K82" s="279"/>
    </row>
    <row r="83" spans="1:11" ht="110.1">
      <c r="A83" s="264"/>
      <c r="B83" s="189" t="s">
        <v>238</v>
      </c>
      <c r="C83" s="190" t="s">
        <v>59</v>
      </c>
      <c r="D83" s="189" t="s">
        <v>7</v>
      </c>
      <c r="E83" s="191" t="s">
        <v>40</v>
      </c>
      <c r="F83" s="185" t="s">
        <v>239</v>
      </c>
      <c r="G83" s="92"/>
      <c r="H83" s="92">
        <v>3</v>
      </c>
      <c r="I83" s="278"/>
      <c r="J83" s="281"/>
      <c r="K83" s="278"/>
    </row>
    <row r="84" spans="1:11" ht="110.1">
      <c r="A84" s="264"/>
      <c r="B84" s="186" t="s">
        <v>240</v>
      </c>
      <c r="C84" s="187" t="s">
        <v>59</v>
      </c>
      <c r="D84" s="186" t="s">
        <v>7</v>
      </c>
      <c r="E84" s="188" t="s">
        <v>40</v>
      </c>
      <c r="F84" s="185" t="s">
        <v>241</v>
      </c>
      <c r="G84" s="185"/>
      <c r="H84" s="185">
        <v>3</v>
      </c>
      <c r="I84" s="278"/>
      <c r="J84" s="281"/>
      <c r="K84" s="278"/>
    </row>
    <row r="85" spans="1:11" ht="66">
      <c r="A85" s="264"/>
      <c r="B85" s="189" t="s">
        <v>242</v>
      </c>
      <c r="C85" s="190" t="s">
        <v>59</v>
      </c>
      <c r="D85" s="189" t="s">
        <v>7</v>
      </c>
      <c r="E85" s="191" t="s">
        <v>173</v>
      </c>
      <c r="F85" s="185" t="s">
        <v>243</v>
      </c>
      <c r="G85" s="92"/>
      <c r="H85" s="92">
        <v>3</v>
      </c>
      <c r="I85" s="278"/>
      <c r="J85" s="281"/>
      <c r="K85" s="278"/>
    </row>
    <row r="86" spans="1:11" s="1" customFormat="1" ht="44.1">
      <c r="A86" s="264"/>
      <c r="B86" s="186" t="s">
        <v>244</v>
      </c>
      <c r="C86" s="187" t="s">
        <v>140</v>
      </c>
      <c r="D86" s="187" t="s">
        <v>11</v>
      </c>
      <c r="E86" s="188" t="s">
        <v>245</v>
      </c>
      <c r="F86" s="185"/>
      <c r="G86" s="185"/>
      <c r="H86" s="185"/>
      <c r="I86" s="279"/>
      <c r="J86" s="281"/>
      <c r="K86" s="279"/>
    </row>
    <row r="87" spans="1:11" ht="110.1">
      <c r="A87" s="264"/>
      <c r="B87" s="189" t="s">
        <v>246</v>
      </c>
      <c r="C87" s="190" t="s">
        <v>59</v>
      </c>
      <c r="D87" s="189" t="s">
        <v>7</v>
      </c>
      <c r="E87" s="191" t="s">
        <v>173</v>
      </c>
      <c r="F87" s="185" t="s">
        <v>247</v>
      </c>
      <c r="G87" s="92"/>
      <c r="H87" s="92">
        <v>3</v>
      </c>
      <c r="I87" s="278"/>
      <c r="J87" s="281"/>
      <c r="K87" s="278"/>
    </row>
    <row r="88" spans="1:11" ht="110.1">
      <c r="A88" s="264"/>
      <c r="B88" s="186" t="s">
        <v>248</v>
      </c>
      <c r="C88" s="187" t="s">
        <v>59</v>
      </c>
      <c r="D88" s="186" t="s">
        <v>7</v>
      </c>
      <c r="E88" s="188" t="s">
        <v>45</v>
      </c>
      <c r="F88" s="185" t="s">
        <v>249</v>
      </c>
      <c r="G88" s="185"/>
      <c r="H88" s="185">
        <v>3</v>
      </c>
      <c r="I88" s="278"/>
      <c r="J88" s="281"/>
      <c r="K88" s="278"/>
    </row>
    <row r="89" spans="1:11" ht="110.1">
      <c r="A89" s="264"/>
      <c r="B89" s="189" t="s">
        <v>250</v>
      </c>
      <c r="C89" s="190" t="s">
        <v>85</v>
      </c>
      <c r="D89" s="189" t="s">
        <v>7</v>
      </c>
      <c r="E89" s="191" t="s">
        <v>40</v>
      </c>
      <c r="F89" s="185" t="s">
        <v>251</v>
      </c>
      <c r="G89" s="92"/>
      <c r="H89" s="92">
        <v>3</v>
      </c>
      <c r="I89" s="278"/>
      <c r="J89" s="281"/>
      <c r="K89" s="278"/>
    </row>
    <row r="90" spans="1:11" ht="153.94999999999999">
      <c r="A90" s="264"/>
      <c r="B90" s="186" t="s">
        <v>252</v>
      </c>
      <c r="C90" s="187" t="s">
        <v>59</v>
      </c>
      <c r="D90" s="186" t="s">
        <v>7</v>
      </c>
      <c r="E90" s="188" t="s">
        <v>245</v>
      </c>
      <c r="F90" s="185" t="s">
        <v>253</v>
      </c>
      <c r="G90" s="185"/>
      <c r="H90" s="185">
        <v>3</v>
      </c>
      <c r="I90" s="278"/>
      <c r="J90" s="281"/>
      <c r="K90" s="278"/>
    </row>
    <row r="91" spans="1:11" ht="44.1">
      <c r="A91" s="264"/>
      <c r="B91" s="189" t="s">
        <v>254</v>
      </c>
      <c r="C91" s="190" t="s">
        <v>85</v>
      </c>
      <c r="D91" s="189" t="s">
        <v>7</v>
      </c>
      <c r="E91" s="191" t="s">
        <v>173</v>
      </c>
      <c r="F91" s="185" t="s">
        <v>255</v>
      </c>
      <c r="G91" s="92"/>
      <c r="H91" s="92">
        <v>2</v>
      </c>
      <c r="I91" s="278"/>
      <c r="J91" s="281"/>
      <c r="K91" s="278"/>
    </row>
    <row r="92" spans="1:11" ht="132">
      <c r="A92" s="264"/>
      <c r="B92" s="186" t="s">
        <v>256</v>
      </c>
      <c r="C92" s="187" t="s">
        <v>59</v>
      </c>
      <c r="D92" s="186" t="s">
        <v>7</v>
      </c>
      <c r="E92" s="188" t="s">
        <v>81</v>
      </c>
      <c r="F92" s="185" t="s">
        <v>257</v>
      </c>
      <c r="G92" s="185"/>
      <c r="H92" s="185">
        <v>4</v>
      </c>
      <c r="I92" s="278"/>
      <c r="J92" s="281"/>
      <c r="K92" s="278"/>
    </row>
    <row r="93" spans="1:11" ht="87.95">
      <c r="A93" s="264"/>
      <c r="B93" s="189" t="s">
        <v>258</v>
      </c>
      <c r="C93" s="190" t="s">
        <v>59</v>
      </c>
      <c r="D93" s="189" t="s">
        <v>7</v>
      </c>
      <c r="E93" s="191" t="s">
        <v>48</v>
      </c>
      <c r="F93" s="185" t="s">
        <v>259</v>
      </c>
      <c r="G93" s="92"/>
      <c r="H93" s="92">
        <v>3</v>
      </c>
      <c r="I93" s="278"/>
      <c r="J93" s="281"/>
      <c r="K93" s="278"/>
    </row>
    <row r="94" spans="1:11" ht="87.95">
      <c r="A94" s="264"/>
      <c r="B94" s="186" t="s">
        <v>260</v>
      </c>
      <c r="C94" s="187" t="s">
        <v>59</v>
      </c>
      <c r="D94" s="186" t="s">
        <v>7</v>
      </c>
      <c r="E94" s="188" t="s">
        <v>173</v>
      </c>
      <c r="F94" s="185" t="s">
        <v>261</v>
      </c>
      <c r="G94" s="185"/>
      <c r="H94" s="185">
        <v>3</v>
      </c>
      <c r="I94" s="278"/>
      <c r="J94" s="281"/>
      <c r="K94" s="278"/>
    </row>
    <row r="95" spans="1:11" ht="110.1">
      <c r="A95" s="264"/>
      <c r="B95" s="189" t="s">
        <v>262</v>
      </c>
      <c r="C95" s="190" t="s">
        <v>59</v>
      </c>
      <c r="D95" s="189" t="s">
        <v>7</v>
      </c>
      <c r="E95" s="191" t="s">
        <v>48</v>
      </c>
      <c r="F95" s="185" t="s">
        <v>263</v>
      </c>
      <c r="G95" s="92"/>
      <c r="H95" s="92">
        <v>4</v>
      </c>
      <c r="I95" s="278"/>
      <c r="J95" s="281"/>
      <c r="K95" s="278"/>
    </row>
    <row r="96" spans="1:11" ht="66">
      <c r="A96" s="264"/>
      <c r="B96" s="186" t="s">
        <v>264</v>
      </c>
      <c r="C96" s="187" t="s">
        <v>59</v>
      </c>
      <c r="D96" s="186" t="s">
        <v>7</v>
      </c>
      <c r="E96" s="188" t="s">
        <v>48</v>
      </c>
      <c r="F96" s="185" t="s">
        <v>265</v>
      </c>
      <c r="G96" s="185"/>
      <c r="H96" s="185">
        <v>2</v>
      </c>
      <c r="I96" s="278"/>
      <c r="J96" s="281"/>
      <c r="K96" s="278"/>
    </row>
    <row r="97" spans="1:11" ht="110.1">
      <c r="A97" s="264"/>
      <c r="B97" s="189" t="s">
        <v>266</v>
      </c>
      <c r="C97" s="190" t="s">
        <v>267</v>
      </c>
      <c r="D97" s="189" t="s">
        <v>7</v>
      </c>
      <c r="E97" s="191" t="s">
        <v>209</v>
      </c>
      <c r="F97" s="185" t="s">
        <v>268</v>
      </c>
      <c r="G97" s="92"/>
      <c r="H97" s="92">
        <v>4</v>
      </c>
      <c r="I97" s="278"/>
      <c r="J97" s="281"/>
      <c r="K97" s="278"/>
    </row>
    <row r="98" spans="1:11" ht="87.95">
      <c r="A98" s="264"/>
      <c r="B98" s="186" t="s">
        <v>269</v>
      </c>
      <c r="C98" s="187" t="s">
        <v>59</v>
      </c>
      <c r="D98" s="186" t="s">
        <v>7</v>
      </c>
      <c r="E98" s="188" t="s">
        <v>173</v>
      </c>
      <c r="F98" s="185" t="s">
        <v>270</v>
      </c>
      <c r="G98" s="185"/>
      <c r="H98" s="185">
        <v>2</v>
      </c>
      <c r="I98" s="278"/>
      <c r="J98" s="281"/>
      <c r="K98" s="278"/>
    </row>
    <row r="99" spans="1:11" ht="87.95">
      <c r="A99" s="265"/>
      <c r="B99" s="189" t="s">
        <v>271</v>
      </c>
      <c r="C99" s="190" t="s">
        <v>59</v>
      </c>
      <c r="D99" s="189" t="s">
        <v>7</v>
      </c>
      <c r="E99" s="191" t="s">
        <v>173</v>
      </c>
      <c r="F99" s="185" t="s">
        <v>272</v>
      </c>
      <c r="G99" s="92"/>
      <c r="H99" s="92">
        <v>3</v>
      </c>
      <c r="I99" s="280"/>
      <c r="J99" s="281"/>
      <c r="K99" s="280"/>
    </row>
    <row r="100" spans="1:11" s="1" customFormat="1">
      <c r="A100" s="5"/>
      <c r="I100" s="10"/>
      <c r="J100" s="28">
        <f>J2+J16+J35+J52</f>
        <v>98</v>
      </c>
    </row>
    <row r="102" spans="1:11">
      <c r="A102" s="68" t="s">
        <v>273</v>
      </c>
      <c r="B102" s="162" t="s">
        <v>274</v>
      </c>
      <c r="C102" s="32" t="s">
        <v>275</v>
      </c>
      <c r="E102" s="27" t="s">
        <v>6</v>
      </c>
      <c r="F102" s="81"/>
      <c r="G102" s="81"/>
      <c r="H102" s="81"/>
      <c r="I102" s="81" t="s">
        <v>276</v>
      </c>
      <c r="J102" s="81" t="s">
        <v>277</v>
      </c>
      <c r="K102" s="150"/>
    </row>
    <row r="103" spans="1:11">
      <c r="A103" s="82" t="s">
        <v>278</v>
      </c>
      <c r="B103" s="163" t="s">
        <v>279</v>
      </c>
      <c r="C103" s="28" t="s">
        <v>280</v>
      </c>
      <c r="E103" s="28">
        <v>19</v>
      </c>
      <c r="F103" s="71"/>
      <c r="G103" s="71"/>
      <c r="H103" s="71"/>
      <c r="I103" s="71">
        <v>79</v>
      </c>
      <c r="J103" s="71">
        <v>98</v>
      </c>
    </row>
    <row r="104" spans="1:11">
      <c r="A104" s="71" t="s">
        <v>281</v>
      </c>
      <c r="B104" s="160" t="s">
        <v>282</v>
      </c>
      <c r="C104" s="28" t="s">
        <v>283</v>
      </c>
    </row>
    <row r="105" spans="1:11">
      <c r="A105" s="71" t="s">
        <v>281</v>
      </c>
      <c r="B105" s="160" t="s">
        <v>284</v>
      </c>
      <c r="C105" s="28" t="s">
        <v>283</v>
      </c>
    </row>
    <row r="106" spans="1:11">
      <c r="A106" s="71" t="s">
        <v>281</v>
      </c>
      <c r="B106" s="160" t="s">
        <v>285</v>
      </c>
      <c r="C106" s="28" t="s">
        <v>286</v>
      </c>
    </row>
    <row r="107" spans="1:11">
      <c r="A107" s="84"/>
      <c r="B107" s="160"/>
      <c r="C107" s="28"/>
    </row>
    <row r="108" spans="1:11">
      <c r="A108" s="84"/>
      <c r="B108" s="160"/>
      <c r="C108" s="28"/>
    </row>
    <row r="109" spans="1:11">
      <c r="A109" s="84"/>
      <c r="B109" s="160"/>
      <c r="C109" s="28"/>
    </row>
  </sheetData>
  <autoFilter ref="A1:K100" xr:uid="{00000000-0001-0000-0000-000000000000}"/>
  <mergeCells count="17">
    <mergeCell ref="J16:J34"/>
    <mergeCell ref="J35:J51"/>
    <mergeCell ref="J52:J99"/>
    <mergeCell ref="Q2:Z2"/>
    <mergeCell ref="J2:J15"/>
    <mergeCell ref="K2:K15"/>
    <mergeCell ref="K16:K34"/>
    <mergeCell ref="K35:K51"/>
    <mergeCell ref="K52:K99"/>
    <mergeCell ref="A2:A15"/>
    <mergeCell ref="A16:A34"/>
    <mergeCell ref="A35:A51"/>
    <mergeCell ref="A52:A99"/>
    <mergeCell ref="I2:I15"/>
    <mergeCell ref="I16:I34"/>
    <mergeCell ref="I35:I51"/>
    <mergeCell ref="I52:I99"/>
  </mergeCells>
  <conditionalFormatting sqref="B1:B1048576">
    <cfRule type="duplicateValues" dxfId="1" priority="1"/>
    <cfRule type="duplicateValues" dxfId="0" priority="2"/>
  </conditionalFormatting>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634B7-AEA8-EB4C-9140-879E0E3D0633}">
  <sheetPr>
    <tabColor rgb="FF7030A0"/>
  </sheetPr>
  <dimension ref="A1:M99"/>
  <sheetViews>
    <sheetView zoomScale="60" zoomScaleNormal="60" workbookViewId="0">
      <pane ySplit="1" topLeftCell="A79" activePane="bottomLeft" state="frozen"/>
      <selection pane="bottomLeft" activeCell="E33" sqref="E33"/>
    </sheetView>
  </sheetViews>
  <sheetFormatPr defaultColWidth="10.85546875" defaultRowHeight="21"/>
  <cols>
    <col min="1" max="1" width="25.7109375" style="10" bestFit="1" customWidth="1"/>
    <col min="2" max="2" width="33.140625" style="10" customWidth="1"/>
    <col min="3" max="3" width="33.140625" style="10" hidden="1" customWidth="1"/>
    <col min="4" max="5" width="38.28515625" style="10" customWidth="1"/>
    <col min="6" max="6" width="41.7109375" style="10" customWidth="1"/>
    <col min="7" max="7" width="49" style="144" customWidth="1"/>
    <col min="8" max="9" width="41.7109375" style="10" customWidth="1"/>
    <col min="10" max="12" width="28.42578125" style="10" customWidth="1"/>
    <col min="13" max="16384" width="10.85546875" style="10"/>
  </cols>
  <sheetData>
    <row r="1" spans="1:13" ht="66">
      <c r="A1" s="7" t="s">
        <v>0</v>
      </c>
      <c r="B1" s="8" t="s">
        <v>1</v>
      </c>
      <c r="C1" s="37"/>
      <c r="D1" s="9" t="s">
        <v>2</v>
      </c>
      <c r="E1" s="9" t="s">
        <v>287</v>
      </c>
      <c r="F1" s="9" t="s">
        <v>3</v>
      </c>
      <c r="G1" s="63" t="s">
        <v>28</v>
      </c>
      <c r="H1" s="6" t="s">
        <v>29</v>
      </c>
      <c r="I1" s="212" t="s">
        <v>30</v>
      </c>
      <c r="J1" s="18" t="s">
        <v>4</v>
      </c>
      <c r="K1" s="18" t="s">
        <v>5</v>
      </c>
      <c r="L1" s="18"/>
    </row>
    <row r="2" spans="1:13">
      <c r="A2" s="19" t="s">
        <v>288</v>
      </c>
      <c r="B2" s="19" t="s">
        <v>289</v>
      </c>
      <c r="C2" s="19" t="s">
        <v>290</v>
      </c>
      <c r="D2" s="19" t="s">
        <v>11</v>
      </c>
      <c r="E2" s="129" t="s">
        <v>291</v>
      </c>
      <c r="F2" s="129" t="s">
        <v>291</v>
      </c>
      <c r="G2" s="140"/>
      <c r="H2" s="136"/>
      <c r="I2" s="124"/>
      <c r="J2" s="291" t="s">
        <v>292</v>
      </c>
      <c r="K2" s="287">
        <v>4</v>
      </c>
      <c r="L2" s="42"/>
    </row>
    <row r="3" spans="1:13" ht="21.95" thickBot="1">
      <c r="A3" s="19" t="s">
        <v>289</v>
      </c>
      <c r="B3" s="19" t="s">
        <v>293</v>
      </c>
      <c r="C3" s="19" t="s">
        <v>290</v>
      </c>
      <c r="D3" s="19" t="s">
        <v>11</v>
      </c>
      <c r="E3" s="129" t="s">
        <v>291</v>
      </c>
      <c r="F3" s="129" t="s">
        <v>291</v>
      </c>
      <c r="G3" s="140"/>
      <c r="H3" s="136"/>
      <c r="I3" s="66"/>
      <c r="J3" s="291"/>
      <c r="K3" s="287"/>
      <c r="L3" s="42"/>
    </row>
    <row r="4" spans="1:13">
      <c r="A4" s="137"/>
      <c r="B4" s="19" t="s">
        <v>294</v>
      </c>
      <c r="C4" s="19" t="s">
        <v>290</v>
      </c>
      <c r="D4" s="19" t="s">
        <v>11</v>
      </c>
      <c r="E4" s="129" t="s">
        <v>291</v>
      </c>
      <c r="F4" s="129" t="s">
        <v>291</v>
      </c>
      <c r="G4" s="134"/>
      <c r="H4" s="130"/>
      <c r="I4" s="125"/>
      <c r="J4" s="291"/>
      <c r="K4" s="287"/>
      <c r="L4" s="42"/>
    </row>
    <row r="5" spans="1:13">
      <c r="A5" s="295" t="s">
        <v>295</v>
      </c>
      <c r="B5" s="20" t="s">
        <v>296</v>
      </c>
      <c r="C5" s="20" t="s">
        <v>290</v>
      </c>
      <c r="D5" s="20" t="s">
        <v>11</v>
      </c>
      <c r="E5" s="110"/>
      <c r="F5" s="110" t="s">
        <v>297</v>
      </c>
      <c r="G5" s="134"/>
      <c r="H5" s="130"/>
      <c r="I5" s="125"/>
      <c r="J5" s="291" t="s">
        <v>298</v>
      </c>
      <c r="K5" s="288">
        <v>6</v>
      </c>
      <c r="L5" s="40"/>
    </row>
    <row r="6" spans="1:13">
      <c r="A6" s="295"/>
      <c r="B6" s="20" t="s">
        <v>299</v>
      </c>
      <c r="C6" s="20" t="s">
        <v>290</v>
      </c>
      <c r="D6" s="20" t="s">
        <v>11</v>
      </c>
      <c r="E6" s="110"/>
      <c r="F6" s="110" t="s">
        <v>300</v>
      </c>
      <c r="G6" s="134"/>
      <c r="H6" s="130"/>
      <c r="I6" s="125"/>
      <c r="J6" s="291"/>
      <c r="K6" s="288"/>
      <c r="L6" s="40"/>
    </row>
    <row r="7" spans="1:13">
      <c r="A7" s="295"/>
      <c r="B7" s="20" t="s">
        <v>301</v>
      </c>
      <c r="C7" s="20" t="s">
        <v>290</v>
      </c>
      <c r="D7" s="20" t="s">
        <v>11</v>
      </c>
      <c r="E7" s="110"/>
      <c r="F7" s="110" t="s">
        <v>40</v>
      </c>
      <c r="G7" s="134"/>
      <c r="H7" s="130"/>
      <c r="I7" s="125"/>
      <c r="J7" s="291"/>
      <c r="K7" s="288"/>
      <c r="L7" s="40"/>
      <c r="M7" s="51"/>
    </row>
    <row r="8" spans="1:13">
      <c r="A8" s="295"/>
      <c r="B8" s="20" t="s">
        <v>302</v>
      </c>
      <c r="C8" s="20" t="s">
        <v>290</v>
      </c>
      <c r="D8" s="20" t="s">
        <v>11</v>
      </c>
      <c r="E8" s="110"/>
      <c r="F8" s="110" t="s">
        <v>50</v>
      </c>
      <c r="G8" s="134"/>
      <c r="H8" s="130"/>
      <c r="I8" s="125"/>
      <c r="J8" s="291"/>
      <c r="K8" s="288"/>
      <c r="L8" s="40"/>
    </row>
    <row r="9" spans="1:13">
      <c r="A9" s="295"/>
      <c r="B9" s="20" t="s">
        <v>303</v>
      </c>
      <c r="C9" s="20" t="s">
        <v>290</v>
      </c>
      <c r="D9" s="20" t="s">
        <v>11</v>
      </c>
      <c r="E9" s="110"/>
      <c r="F9" s="110" t="s">
        <v>304</v>
      </c>
      <c r="G9" s="134"/>
      <c r="H9" s="130"/>
      <c r="I9" s="125"/>
      <c r="J9" s="291"/>
      <c r="K9" s="288"/>
      <c r="L9" s="40"/>
    </row>
    <row r="10" spans="1:13">
      <c r="A10" s="295"/>
      <c r="B10" s="20" t="s">
        <v>305</v>
      </c>
      <c r="C10" s="20" t="s">
        <v>290</v>
      </c>
      <c r="D10" s="20" t="s">
        <v>11</v>
      </c>
      <c r="E10" s="110"/>
      <c r="F10" s="110" t="s">
        <v>306</v>
      </c>
      <c r="G10" s="134"/>
      <c r="H10" s="130"/>
      <c r="I10" s="125"/>
      <c r="J10" s="291"/>
      <c r="K10" s="288"/>
      <c r="L10" s="40"/>
    </row>
    <row r="11" spans="1:13">
      <c r="A11" s="295"/>
      <c r="B11" s="20" t="s">
        <v>307</v>
      </c>
      <c r="C11" s="20" t="s">
        <v>290</v>
      </c>
      <c r="D11" s="20" t="s">
        <v>7</v>
      </c>
      <c r="E11" s="110" t="s">
        <v>308</v>
      </c>
      <c r="F11" s="110" t="s">
        <v>309</v>
      </c>
      <c r="G11" s="134"/>
      <c r="H11" s="130"/>
      <c r="I11" s="125"/>
      <c r="J11" s="292"/>
      <c r="K11" s="289"/>
      <c r="L11" s="40"/>
    </row>
    <row r="12" spans="1:13" ht="66">
      <c r="A12" s="308" t="s">
        <v>296</v>
      </c>
      <c r="B12" s="21" t="s">
        <v>310</v>
      </c>
      <c r="C12" s="21"/>
      <c r="D12" s="21" t="s">
        <v>7</v>
      </c>
      <c r="E12" s="115" t="s">
        <v>311</v>
      </c>
      <c r="F12" s="115" t="s">
        <v>312</v>
      </c>
      <c r="G12" s="134" t="s">
        <v>313</v>
      </c>
      <c r="H12" s="131">
        <v>43237</v>
      </c>
      <c r="I12" s="125">
        <v>3</v>
      </c>
      <c r="J12" s="290" t="s">
        <v>314</v>
      </c>
      <c r="K12" s="290">
        <v>6</v>
      </c>
      <c r="L12" s="41"/>
    </row>
    <row r="13" spans="1:13">
      <c r="A13" s="309"/>
      <c r="B13" s="21" t="s">
        <v>315</v>
      </c>
      <c r="C13" s="21" t="s">
        <v>316</v>
      </c>
      <c r="D13" s="21" t="s">
        <v>11</v>
      </c>
      <c r="E13" s="115"/>
      <c r="F13" s="115" t="s">
        <v>297</v>
      </c>
      <c r="G13" s="134"/>
      <c r="H13" s="130"/>
      <c r="I13" s="125"/>
      <c r="J13" s="293"/>
      <c r="K13" s="290"/>
      <c r="L13" s="41"/>
    </row>
    <row r="14" spans="1:13" ht="44.1">
      <c r="A14" s="309"/>
      <c r="B14" s="21" t="s">
        <v>317</v>
      </c>
      <c r="C14" s="21"/>
      <c r="D14" s="21" t="s">
        <v>7</v>
      </c>
      <c r="E14" s="115" t="s">
        <v>308</v>
      </c>
      <c r="F14" s="115" t="s">
        <v>312</v>
      </c>
      <c r="G14" s="134" t="s">
        <v>318</v>
      </c>
      <c r="H14" s="131">
        <v>44802</v>
      </c>
      <c r="I14" s="125">
        <v>2</v>
      </c>
      <c r="J14" s="290"/>
      <c r="K14" s="290"/>
      <c r="L14" s="41"/>
      <c r="M14" s="51"/>
    </row>
    <row r="15" spans="1:13">
      <c r="A15" s="309"/>
      <c r="B15" s="21" t="s">
        <v>319</v>
      </c>
      <c r="C15" s="21" t="s">
        <v>316</v>
      </c>
      <c r="D15" s="21" t="s">
        <v>11</v>
      </c>
      <c r="E15" s="115" t="s">
        <v>308</v>
      </c>
      <c r="F15" s="115" t="s">
        <v>312</v>
      </c>
      <c r="G15" s="134"/>
      <c r="H15" s="130"/>
      <c r="I15" s="125">
        <v>3</v>
      </c>
      <c r="J15" s="293"/>
      <c r="K15" s="290"/>
      <c r="L15" s="41"/>
    </row>
    <row r="16" spans="1:13">
      <c r="A16" s="310"/>
      <c r="B16" s="21" t="s">
        <v>320</v>
      </c>
      <c r="C16" s="21" t="s">
        <v>316</v>
      </c>
      <c r="D16" s="21" t="s">
        <v>11</v>
      </c>
      <c r="E16" s="115" t="s">
        <v>308</v>
      </c>
      <c r="F16" s="115" t="s">
        <v>312</v>
      </c>
      <c r="G16" s="155"/>
      <c r="H16" s="154"/>
      <c r="I16" s="156">
        <v>1</v>
      </c>
      <c r="J16" s="293"/>
      <c r="K16" s="290"/>
      <c r="L16" s="41"/>
    </row>
    <row r="17" spans="1:13" ht="66">
      <c r="A17" s="311" t="s">
        <v>315</v>
      </c>
      <c r="B17" s="151" t="s">
        <v>321</v>
      </c>
      <c r="C17" s="151"/>
      <c r="D17" s="151" t="s">
        <v>7</v>
      </c>
      <c r="E17" s="152" t="s">
        <v>308</v>
      </c>
      <c r="F17" s="152" t="s">
        <v>297</v>
      </c>
      <c r="G17" s="135" t="s">
        <v>322</v>
      </c>
      <c r="H17" s="133">
        <v>45754</v>
      </c>
      <c r="I17" s="126">
        <v>1</v>
      </c>
      <c r="J17" s="296" t="s">
        <v>323</v>
      </c>
      <c r="K17" s="296">
        <v>6</v>
      </c>
      <c r="L17" s="41"/>
    </row>
    <row r="18" spans="1:13">
      <c r="A18" s="312"/>
      <c r="B18" s="151" t="s">
        <v>324</v>
      </c>
      <c r="C18" s="151" t="s">
        <v>290</v>
      </c>
      <c r="D18" s="151" t="s">
        <v>11</v>
      </c>
      <c r="E18" s="223" t="s">
        <v>325</v>
      </c>
      <c r="F18" s="152" t="s">
        <v>297</v>
      </c>
      <c r="G18" s="135"/>
      <c r="H18" s="132"/>
      <c r="I18" s="126"/>
      <c r="J18" s="297"/>
      <c r="K18" s="296"/>
      <c r="L18" s="41"/>
      <c r="M18" s="51"/>
    </row>
    <row r="19" spans="1:13">
      <c r="A19" s="312"/>
      <c r="B19" s="151" t="s">
        <v>326</v>
      </c>
      <c r="C19" s="152" t="s">
        <v>316</v>
      </c>
      <c r="D19" s="152" t="s">
        <v>11</v>
      </c>
      <c r="E19" s="151" t="s">
        <v>308</v>
      </c>
      <c r="F19" s="221" t="s">
        <v>297</v>
      </c>
      <c r="G19" s="135"/>
      <c r="H19" s="132"/>
      <c r="I19" s="126">
        <v>4</v>
      </c>
      <c r="J19" s="297"/>
      <c r="K19" s="296"/>
      <c r="L19" s="41"/>
    </row>
    <row r="20" spans="1:13" ht="66">
      <c r="A20" s="312"/>
      <c r="B20" s="151" t="s">
        <v>327</v>
      </c>
      <c r="C20" s="151"/>
      <c r="D20" s="151" t="s">
        <v>7</v>
      </c>
      <c r="E20" s="224" t="s">
        <v>308</v>
      </c>
      <c r="F20" s="152" t="s">
        <v>297</v>
      </c>
      <c r="G20" s="153" t="s">
        <v>328</v>
      </c>
      <c r="H20" s="157">
        <v>44606</v>
      </c>
      <c r="I20" s="158">
        <v>4</v>
      </c>
      <c r="J20" s="296"/>
      <c r="K20" s="296"/>
      <c r="L20" s="41"/>
    </row>
    <row r="21" spans="1:13" ht="110.1">
      <c r="A21" s="312"/>
      <c r="B21" s="151" t="s">
        <v>329</v>
      </c>
      <c r="C21" s="151"/>
      <c r="D21" s="151" t="s">
        <v>7</v>
      </c>
      <c r="E21" s="152" t="s">
        <v>325</v>
      </c>
      <c r="F21" s="152" t="s">
        <v>297</v>
      </c>
      <c r="G21" s="153" t="s">
        <v>330</v>
      </c>
      <c r="H21" s="157">
        <v>44378</v>
      </c>
      <c r="I21" s="158">
        <v>3</v>
      </c>
      <c r="J21" s="296"/>
      <c r="K21" s="296"/>
      <c r="L21" s="41"/>
    </row>
    <row r="22" spans="1:13" ht="66">
      <c r="A22" s="313"/>
      <c r="B22" s="151" t="s">
        <v>331</v>
      </c>
      <c r="C22" s="151"/>
      <c r="D22" s="151" t="s">
        <v>7</v>
      </c>
      <c r="E22" s="152" t="s">
        <v>311</v>
      </c>
      <c r="F22" s="152" t="s">
        <v>332</v>
      </c>
      <c r="G22" s="153" t="s">
        <v>333</v>
      </c>
      <c r="H22" s="157">
        <v>45271</v>
      </c>
      <c r="I22" s="158">
        <v>2</v>
      </c>
      <c r="J22" s="298"/>
      <c r="K22" s="298"/>
      <c r="L22" s="41"/>
    </row>
    <row r="23" spans="1:13" ht="110.1">
      <c r="A23" s="315" t="s">
        <v>334</v>
      </c>
      <c r="B23" s="23" t="s">
        <v>335</v>
      </c>
      <c r="C23" s="23"/>
      <c r="D23" s="23" t="s">
        <v>7</v>
      </c>
      <c r="E23" s="117"/>
      <c r="F23" s="117" t="s">
        <v>40</v>
      </c>
      <c r="G23" s="135" t="s">
        <v>336</v>
      </c>
      <c r="H23" s="133">
        <v>43327</v>
      </c>
      <c r="I23" s="126">
        <v>3</v>
      </c>
      <c r="J23" s="288" t="s">
        <v>337</v>
      </c>
      <c r="K23" s="286">
        <v>5</v>
      </c>
      <c r="L23" s="41"/>
    </row>
    <row r="24" spans="1:13" ht="66">
      <c r="A24" s="315"/>
      <c r="B24" s="23" t="s">
        <v>338</v>
      </c>
      <c r="C24" s="23"/>
      <c r="D24" s="23" t="s">
        <v>7</v>
      </c>
      <c r="E24" s="117"/>
      <c r="F24" s="117" t="s">
        <v>40</v>
      </c>
      <c r="G24" s="135" t="s">
        <v>339</v>
      </c>
      <c r="H24" s="133">
        <v>45901</v>
      </c>
      <c r="I24" s="126">
        <v>1</v>
      </c>
      <c r="J24" s="288"/>
      <c r="K24" s="286"/>
      <c r="L24" s="41"/>
    </row>
    <row r="25" spans="1:13" ht="66">
      <c r="A25" s="315"/>
      <c r="B25" s="23" t="s">
        <v>340</v>
      </c>
      <c r="C25" s="23"/>
      <c r="D25" s="23" t="s">
        <v>7</v>
      </c>
      <c r="E25" s="117"/>
      <c r="F25" s="117" t="s">
        <v>40</v>
      </c>
      <c r="G25" s="135" t="s">
        <v>341</v>
      </c>
      <c r="H25" s="133">
        <v>44272</v>
      </c>
      <c r="I25" s="126">
        <v>3</v>
      </c>
      <c r="J25" s="288"/>
      <c r="K25" s="286"/>
      <c r="L25" s="41"/>
    </row>
    <row r="26" spans="1:13" ht="110.1">
      <c r="A26" s="315"/>
      <c r="B26" s="23" t="s">
        <v>342</v>
      </c>
      <c r="C26" s="23"/>
      <c r="D26" s="23" t="s">
        <v>7</v>
      </c>
      <c r="E26" s="117"/>
      <c r="F26" s="117" t="s">
        <v>40</v>
      </c>
      <c r="G26" s="135" t="s">
        <v>343</v>
      </c>
      <c r="H26" s="133">
        <v>44536</v>
      </c>
      <c r="I26" s="126">
        <v>2</v>
      </c>
      <c r="J26" s="288"/>
      <c r="K26" s="286"/>
      <c r="L26" s="41"/>
    </row>
    <row r="27" spans="1:13" ht="176.1">
      <c r="A27" s="315"/>
      <c r="B27" s="23" t="s">
        <v>344</v>
      </c>
      <c r="C27" s="23"/>
      <c r="D27" s="23" t="s">
        <v>7</v>
      </c>
      <c r="E27" s="116"/>
      <c r="F27" s="116" t="s">
        <v>40</v>
      </c>
      <c r="G27" s="135" t="s">
        <v>345</v>
      </c>
      <c r="H27" s="133">
        <v>43140</v>
      </c>
      <c r="I27" s="126">
        <v>4</v>
      </c>
      <c r="J27" s="288"/>
      <c r="K27" s="286"/>
      <c r="L27" s="41"/>
    </row>
    <row r="28" spans="1:13">
      <c r="A28" s="316" t="s">
        <v>302</v>
      </c>
      <c r="B28" s="24" t="s">
        <v>346</v>
      </c>
      <c r="C28" s="94" t="s">
        <v>290</v>
      </c>
      <c r="D28" s="242" t="s">
        <v>11</v>
      </c>
      <c r="E28" s="50"/>
      <c r="F28" s="222" t="s">
        <v>50</v>
      </c>
      <c r="G28" s="141"/>
      <c r="H28" s="4"/>
      <c r="I28" s="213"/>
      <c r="J28" s="285" t="s">
        <v>347</v>
      </c>
      <c r="K28" s="286">
        <v>5</v>
      </c>
      <c r="L28" s="41"/>
    </row>
    <row r="29" spans="1:13" ht="87.95">
      <c r="A29" s="316"/>
      <c r="B29" s="24" t="s">
        <v>348</v>
      </c>
      <c r="C29" s="94"/>
      <c r="D29" s="96" t="s">
        <v>7</v>
      </c>
      <c r="E29" s="96"/>
      <c r="F29" s="222" t="s">
        <v>50</v>
      </c>
      <c r="G29" s="98" t="s">
        <v>349</v>
      </c>
      <c r="H29" s="111">
        <v>44949</v>
      </c>
      <c r="I29" s="127" t="s">
        <v>350</v>
      </c>
      <c r="J29" s="286"/>
      <c r="K29" s="286"/>
      <c r="L29" s="41"/>
    </row>
    <row r="30" spans="1:13" ht="87.95">
      <c r="A30" s="316"/>
      <c r="B30" s="24" t="s">
        <v>351</v>
      </c>
      <c r="C30" s="94"/>
      <c r="D30" s="96" t="s">
        <v>7</v>
      </c>
      <c r="E30" s="96"/>
      <c r="F30" s="222" t="s">
        <v>50</v>
      </c>
      <c r="G30" s="98" t="s">
        <v>352</v>
      </c>
      <c r="H30" s="111">
        <v>45082</v>
      </c>
      <c r="I30" s="127" t="s">
        <v>353</v>
      </c>
      <c r="J30" s="286"/>
      <c r="K30" s="286"/>
      <c r="L30" s="41"/>
    </row>
    <row r="31" spans="1:13">
      <c r="A31" s="316"/>
      <c r="B31" s="24" t="s">
        <v>354</v>
      </c>
      <c r="C31" s="94" t="s">
        <v>290</v>
      </c>
      <c r="D31" s="245" t="s">
        <v>11</v>
      </c>
      <c r="E31" s="246" t="s">
        <v>308</v>
      </c>
      <c r="F31" s="222" t="s">
        <v>50</v>
      </c>
      <c r="G31" s="142"/>
      <c r="H31" s="4"/>
      <c r="I31" s="213"/>
      <c r="J31" s="285"/>
      <c r="K31" s="286"/>
      <c r="L31" s="41"/>
    </row>
    <row r="32" spans="1:13" ht="87.95">
      <c r="A32" s="50" t="s">
        <v>346</v>
      </c>
      <c r="B32" s="24" t="s">
        <v>355</v>
      </c>
      <c r="C32" s="94"/>
      <c r="D32" s="96" t="s">
        <v>7</v>
      </c>
      <c r="E32" s="96" t="s">
        <v>325</v>
      </c>
      <c r="F32" s="222" t="s">
        <v>50</v>
      </c>
      <c r="G32" s="97" t="s">
        <v>356</v>
      </c>
      <c r="H32" s="111">
        <v>43417</v>
      </c>
      <c r="I32" s="127" t="s">
        <v>357</v>
      </c>
      <c r="J32" s="286"/>
      <c r="K32" s="286"/>
      <c r="L32" s="41"/>
    </row>
    <row r="33" spans="1:13" ht="198">
      <c r="A33" s="317" t="s">
        <v>299</v>
      </c>
      <c r="B33" s="25" t="s">
        <v>358</v>
      </c>
      <c r="C33" s="113"/>
      <c r="D33" s="243" t="s">
        <v>7</v>
      </c>
      <c r="E33" s="243"/>
      <c r="F33" s="244" t="s">
        <v>45</v>
      </c>
      <c r="G33" s="122" t="s">
        <v>359</v>
      </c>
      <c r="H33" s="120">
        <v>44578</v>
      </c>
      <c r="I33" s="128">
        <v>4</v>
      </c>
      <c r="J33" s="286" t="s">
        <v>360</v>
      </c>
      <c r="K33" s="286">
        <v>10</v>
      </c>
      <c r="L33" s="41"/>
    </row>
    <row r="34" spans="1:13">
      <c r="A34" s="317"/>
      <c r="B34" s="25" t="s">
        <v>361</v>
      </c>
      <c r="C34" s="25"/>
      <c r="D34" s="247" t="s">
        <v>7</v>
      </c>
      <c r="E34" s="112" t="s">
        <v>308</v>
      </c>
      <c r="F34" s="113" t="s">
        <v>45</v>
      </c>
      <c r="G34" s="122"/>
      <c r="H34" s="120">
        <v>45293</v>
      </c>
      <c r="I34" s="128">
        <v>1</v>
      </c>
      <c r="J34" s="286"/>
      <c r="K34" s="286"/>
      <c r="L34" s="41"/>
    </row>
    <row r="35" spans="1:13" ht="176.1">
      <c r="A35" s="317"/>
      <c r="B35" s="25" t="s">
        <v>362</v>
      </c>
      <c r="C35" s="25"/>
      <c r="D35" s="25" t="s">
        <v>7</v>
      </c>
      <c r="E35" s="113"/>
      <c r="F35" s="113" t="s">
        <v>81</v>
      </c>
      <c r="G35" s="122" t="s">
        <v>363</v>
      </c>
      <c r="H35" s="120">
        <v>45481</v>
      </c>
      <c r="I35" s="128">
        <v>3</v>
      </c>
      <c r="J35" s="286"/>
      <c r="K35" s="286"/>
      <c r="L35" s="41"/>
    </row>
    <row r="36" spans="1:13" ht="42" customHeight="1">
      <c r="A36" s="317"/>
      <c r="B36" s="25" t="s">
        <v>364</v>
      </c>
      <c r="C36" s="25" t="s">
        <v>290</v>
      </c>
      <c r="D36" s="25" t="s">
        <v>11</v>
      </c>
      <c r="E36" s="113" t="s">
        <v>325</v>
      </c>
      <c r="F36" s="113" t="s">
        <v>365</v>
      </c>
      <c r="G36" s="122"/>
      <c r="H36" s="119"/>
      <c r="I36" s="214"/>
      <c r="J36" s="285"/>
      <c r="K36" s="286"/>
      <c r="L36" s="41"/>
      <c r="M36" s="51"/>
    </row>
    <row r="37" spans="1:13" ht="153.94999999999999">
      <c r="A37" s="317"/>
      <c r="B37" s="25" t="s">
        <v>366</v>
      </c>
      <c r="C37" s="25"/>
      <c r="D37" s="25" t="s">
        <v>7</v>
      </c>
      <c r="E37" s="113"/>
      <c r="F37" s="113" t="s">
        <v>81</v>
      </c>
      <c r="G37" s="122" t="s">
        <v>367</v>
      </c>
      <c r="H37" s="120">
        <v>42753</v>
      </c>
      <c r="I37" s="128">
        <v>4</v>
      </c>
      <c r="J37" s="286"/>
      <c r="K37" s="286"/>
      <c r="L37" s="41"/>
    </row>
    <row r="38" spans="1:13" ht="87.95">
      <c r="A38" s="317"/>
      <c r="B38" s="25" t="s">
        <v>368</v>
      </c>
      <c r="C38" s="25"/>
      <c r="D38" s="25" t="s">
        <v>7</v>
      </c>
      <c r="E38" s="113"/>
      <c r="F38" s="113" t="s">
        <v>291</v>
      </c>
      <c r="G38" s="122" t="s">
        <v>369</v>
      </c>
      <c r="H38" s="120">
        <v>45294</v>
      </c>
      <c r="I38" s="128">
        <v>2</v>
      </c>
      <c r="J38" s="286"/>
      <c r="K38" s="286"/>
      <c r="L38" s="41"/>
    </row>
    <row r="39" spans="1:13" ht="219.95">
      <c r="A39" s="317"/>
      <c r="B39" s="25" t="s">
        <v>370</v>
      </c>
      <c r="C39" s="25"/>
      <c r="D39" s="25" t="s">
        <v>7</v>
      </c>
      <c r="E39" s="113"/>
      <c r="F39" s="113" t="s">
        <v>45</v>
      </c>
      <c r="G39" s="122" t="s">
        <v>371</v>
      </c>
      <c r="H39" s="120">
        <v>42842</v>
      </c>
      <c r="I39" s="128">
        <v>4</v>
      </c>
      <c r="J39" s="286"/>
      <c r="K39" s="286"/>
      <c r="L39" s="41"/>
    </row>
    <row r="40" spans="1:13" ht="153.94999999999999">
      <c r="A40" s="317"/>
      <c r="B40" s="25" t="s">
        <v>372</v>
      </c>
      <c r="C40" s="25"/>
      <c r="D40" s="25" t="s">
        <v>7</v>
      </c>
      <c r="E40" s="113"/>
      <c r="F40" s="113" t="s">
        <v>45</v>
      </c>
      <c r="G40" s="122" t="s">
        <v>373</v>
      </c>
      <c r="H40" s="120">
        <v>45201</v>
      </c>
      <c r="I40" s="128">
        <v>1</v>
      </c>
      <c r="J40" s="286"/>
      <c r="K40" s="286"/>
      <c r="L40" s="41"/>
    </row>
    <row r="41" spans="1:13" ht="231" customHeight="1">
      <c r="A41" s="317"/>
      <c r="B41" s="25" t="s">
        <v>374</v>
      </c>
      <c r="C41" s="25"/>
      <c r="D41" s="25" t="s">
        <v>7</v>
      </c>
      <c r="E41" s="113"/>
      <c r="F41" s="113" t="s">
        <v>81</v>
      </c>
      <c r="G41" s="122" t="s">
        <v>375</v>
      </c>
      <c r="H41" s="120">
        <v>43936</v>
      </c>
      <c r="I41" s="128">
        <v>4</v>
      </c>
      <c r="J41" s="286"/>
      <c r="K41" s="286"/>
      <c r="L41" s="41"/>
    </row>
    <row r="42" spans="1:13" ht="28.5" customHeight="1">
      <c r="A42" s="317"/>
      <c r="B42" s="25" t="s">
        <v>376</v>
      </c>
      <c r="C42" s="25" t="s">
        <v>290</v>
      </c>
      <c r="D42" s="25" t="s">
        <v>11</v>
      </c>
      <c r="E42" s="113" t="s">
        <v>308</v>
      </c>
      <c r="F42" s="113" t="s">
        <v>81</v>
      </c>
      <c r="G42" s="122"/>
      <c r="H42" s="119"/>
      <c r="I42" s="214"/>
      <c r="J42" s="285"/>
      <c r="K42" s="286"/>
      <c r="L42" s="41"/>
    </row>
    <row r="43" spans="1:13" ht="36.75" customHeight="1">
      <c r="A43" s="314" t="s">
        <v>303</v>
      </c>
      <c r="B43" s="22" t="s">
        <v>377</v>
      </c>
      <c r="C43" s="22" t="s">
        <v>290</v>
      </c>
      <c r="D43" s="22" t="s">
        <v>11</v>
      </c>
      <c r="E43" s="114" t="s">
        <v>304</v>
      </c>
      <c r="F43" s="114" t="s">
        <v>304</v>
      </c>
      <c r="G43" s="122"/>
      <c r="H43" s="119"/>
      <c r="I43" s="214"/>
      <c r="J43" s="285" t="s">
        <v>378</v>
      </c>
      <c r="K43" s="286">
        <v>7</v>
      </c>
      <c r="L43" s="41"/>
      <c r="M43" s="51"/>
    </row>
    <row r="44" spans="1:13" ht="27.75" customHeight="1">
      <c r="A44" s="314"/>
      <c r="B44" s="22" t="s">
        <v>379</v>
      </c>
      <c r="C44" s="22" t="s">
        <v>290</v>
      </c>
      <c r="D44" s="22" t="s">
        <v>11</v>
      </c>
      <c r="E44" s="114" t="s">
        <v>304</v>
      </c>
      <c r="F44" s="114" t="s">
        <v>304</v>
      </c>
      <c r="G44" s="122"/>
      <c r="H44" s="119"/>
      <c r="I44" s="214"/>
      <c r="J44" s="285"/>
      <c r="K44" s="286"/>
      <c r="L44" s="41"/>
    </row>
    <row r="45" spans="1:13" ht="101.25" customHeight="1">
      <c r="A45" s="314" t="s">
        <v>379</v>
      </c>
      <c r="B45" s="22" t="s">
        <v>380</v>
      </c>
      <c r="C45" s="22"/>
      <c r="D45" s="22" t="s">
        <v>7</v>
      </c>
      <c r="E45" s="114"/>
      <c r="F45" s="114" t="s">
        <v>304</v>
      </c>
      <c r="G45" s="122" t="s">
        <v>381</v>
      </c>
      <c r="H45" s="120">
        <v>44543</v>
      </c>
      <c r="I45" s="128">
        <v>3</v>
      </c>
      <c r="J45" s="286"/>
      <c r="K45" s="286"/>
      <c r="L45" s="41"/>
    </row>
    <row r="46" spans="1:13" ht="21.95">
      <c r="A46" s="314"/>
      <c r="B46" s="22" t="s">
        <v>382</v>
      </c>
      <c r="C46" s="22"/>
      <c r="D46" s="22" t="s">
        <v>7</v>
      </c>
      <c r="E46" s="114"/>
      <c r="F46" s="114" t="s">
        <v>304</v>
      </c>
      <c r="G46" s="122" t="s">
        <v>383</v>
      </c>
      <c r="H46" s="120">
        <v>44543</v>
      </c>
      <c r="I46" s="128">
        <v>4</v>
      </c>
      <c r="J46" s="286"/>
      <c r="K46" s="286"/>
      <c r="L46" s="41"/>
      <c r="M46" s="51"/>
    </row>
    <row r="47" spans="1:13">
      <c r="A47" s="314"/>
      <c r="B47" s="22" t="s">
        <v>384</v>
      </c>
      <c r="C47" s="22" t="s">
        <v>290</v>
      </c>
      <c r="D47" s="22" t="s">
        <v>11</v>
      </c>
      <c r="E47" s="114" t="s">
        <v>304</v>
      </c>
      <c r="F47" s="114" t="s">
        <v>304</v>
      </c>
      <c r="G47" s="122"/>
      <c r="H47" s="119"/>
      <c r="I47" s="214"/>
      <c r="J47" s="285"/>
      <c r="K47" s="286"/>
      <c r="L47" s="41"/>
    </row>
    <row r="48" spans="1:13" ht="66" customHeight="1">
      <c r="A48" s="314"/>
      <c r="B48" s="22" t="s">
        <v>385</v>
      </c>
      <c r="C48" s="22"/>
      <c r="D48" s="22" t="s">
        <v>7</v>
      </c>
      <c r="E48" s="114"/>
      <c r="F48" s="114" t="s">
        <v>304</v>
      </c>
      <c r="G48" s="122" t="s">
        <v>386</v>
      </c>
      <c r="H48" s="120">
        <v>44333</v>
      </c>
      <c r="I48" s="128">
        <v>4</v>
      </c>
      <c r="J48" s="286"/>
      <c r="K48" s="286"/>
      <c r="L48" s="41"/>
    </row>
    <row r="49" spans="1:13" ht="27" customHeight="1">
      <c r="A49" s="314"/>
      <c r="B49" s="22" t="s">
        <v>387</v>
      </c>
      <c r="C49" s="22"/>
      <c r="D49" s="22" t="s">
        <v>7</v>
      </c>
      <c r="E49" s="114"/>
      <c r="F49" s="114" t="s">
        <v>304</v>
      </c>
      <c r="G49" s="122" t="s">
        <v>388</v>
      </c>
      <c r="H49" s="119"/>
      <c r="I49" s="128">
        <v>2</v>
      </c>
      <c r="J49" s="286"/>
      <c r="K49" s="286"/>
      <c r="L49" s="41"/>
    </row>
    <row r="50" spans="1:13">
      <c r="A50" s="295" t="s">
        <v>305</v>
      </c>
      <c r="B50" s="20" t="s">
        <v>389</v>
      </c>
      <c r="C50" s="20" t="s">
        <v>290</v>
      </c>
      <c r="D50" s="20" t="s">
        <v>11</v>
      </c>
      <c r="E50" s="110" t="s">
        <v>306</v>
      </c>
      <c r="F50" s="110" t="s">
        <v>390</v>
      </c>
      <c r="G50" s="122"/>
      <c r="H50" s="119"/>
      <c r="I50" s="214"/>
      <c r="J50" s="285" t="s">
        <v>391</v>
      </c>
      <c r="K50" s="286">
        <v>3</v>
      </c>
      <c r="L50" s="41"/>
    </row>
    <row r="51" spans="1:13" ht="242.1">
      <c r="A51" s="295"/>
      <c r="B51" s="20" t="s">
        <v>392</v>
      </c>
      <c r="C51" s="20"/>
      <c r="D51" s="20" t="s">
        <v>7</v>
      </c>
      <c r="E51" s="110"/>
      <c r="F51" s="110" t="s">
        <v>393</v>
      </c>
      <c r="G51" s="122" t="s">
        <v>394</v>
      </c>
      <c r="H51" s="121">
        <v>44146</v>
      </c>
      <c r="I51" s="128">
        <v>4</v>
      </c>
      <c r="J51" s="286"/>
      <c r="K51" s="286"/>
      <c r="L51" s="41"/>
    </row>
    <row r="52" spans="1:13">
      <c r="A52" s="295"/>
      <c r="B52" s="303" t="s">
        <v>395</v>
      </c>
      <c r="C52" s="303" t="s">
        <v>290</v>
      </c>
      <c r="D52" s="303" t="s">
        <v>11</v>
      </c>
      <c r="E52" s="303"/>
      <c r="F52" s="304" t="s">
        <v>393</v>
      </c>
      <c r="G52" s="122"/>
      <c r="H52" s="119"/>
      <c r="I52" s="214"/>
      <c r="J52" s="285"/>
      <c r="K52" s="286"/>
      <c r="L52" s="41"/>
    </row>
    <row r="53" spans="1:13">
      <c r="A53" s="295"/>
      <c r="B53" s="303"/>
      <c r="C53" s="307"/>
      <c r="D53" s="303"/>
      <c r="E53" s="307"/>
      <c r="F53" s="304"/>
      <c r="G53" s="122"/>
      <c r="H53" s="119"/>
      <c r="I53" s="128"/>
      <c r="J53" s="286"/>
      <c r="K53" s="286"/>
      <c r="L53" s="41"/>
    </row>
    <row r="54" spans="1:13">
      <c r="A54" s="248" t="s">
        <v>396</v>
      </c>
      <c r="B54" s="21" t="s">
        <v>397</v>
      </c>
      <c r="C54" s="21" t="s">
        <v>290</v>
      </c>
      <c r="D54" s="21" t="s">
        <v>11</v>
      </c>
      <c r="E54" s="115"/>
      <c r="F54" s="115" t="s">
        <v>398</v>
      </c>
      <c r="G54" s="122"/>
      <c r="H54" s="119"/>
      <c r="I54" s="214"/>
      <c r="J54" s="291" t="s">
        <v>399</v>
      </c>
      <c r="K54" s="288">
        <v>3</v>
      </c>
      <c r="L54" s="43"/>
    </row>
    <row r="55" spans="1:13">
      <c r="A55" s="248"/>
      <c r="B55" s="21" t="s">
        <v>400</v>
      </c>
      <c r="C55" s="21" t="s">
        <v>290</v>
      </c>
      <c r="D55" s="21" t="s">
        <v>11</v>
      </c>
      <c r="E55" s="115"/>
      <c r="F55" s="115" t="s">
        <v>401</v>
      </c>
      <c r="G55" s="122"/>
      <c r="H55" s="119"/>
      <c r="I55" s="214"/>
      <c r="J55" s="291"/>
      <c r="K55" s="288"/>
      <c r="L55" s="43"/>
      <c r="M55" s="51"/>
    </row>
    <row r="56" spans="1:13">
      <c r="A56" s="248"/>
      <c r="B56" s="21" t="s">
        <v>402</v>
      </c>
      <c r="C56" s="21" t="s">
        <v>290</v>
      </c>
      <c r="D56" s="21" t="s">
        <v>11</v>
      </c>
      <c r="E56" s="115"/>
      <c r="F56" s="115" t="s">
        <v>403</v>
      </c>
      <c r="G56" s="122"/>
      <c r="H56" s="119"/>
      <c r="I56" s="214"/>
      <c r="J56" s="291"/>
      <c r="K56" s="288"/>
      <c r="L56" s="43"/>
    </row>
    <row r="57" spans="1:13" ht="168" customHeight="1">
      <c r="A57" s="299" t="s">
        <v>400</v>
      </c>
      <c r="B57" s="299" t="s">
        <v>404</v>
      </c>
      <c r="C57" s="207"/>
      <c r="D57" s="299" t="s">
        <v>7</v>
      </c>
      <c r="E57" s="299" t="s">
        <v>325</v>
      </c>
      <c r="F57" s="305" t="s">
        <v>398</v>
      </c>
      <c r="G57" s="139" t="s">
        <v>405</v>
      </c>
      <c r="H57" s="120">
        <v>44473</v>
      </c>
      <c r="I57" s="128">
        <v>3</v>
      </c>
      <c r="J57" s="284" t="s">
        <v>406</v>
      </c>
      <c r="K57" s="284">
        <v>9</v>
      </c>
      <c r="L57" s="44"/>
    </row>
    <row r="58" spans="1:13">
      <c r="A58" s="302"/>
      <c r="B58" s="300"/>
      <c r="C58" s="208"/>
      <c r="D58" s="300"/>
      <c r="E58" s="300"/>
      <c r="F58" s="306"/>
      <c r="G58" s="122"/>
      <c r="H58" s="119"/>
      <c r="I58" s="128"/>
      <c r="J58" s="284"/>
      <c r="K58" s="284"/>
      <c r="L58" s="44"/>
    </row>
    <row r="59" spans="1:13">
      <c r="A59" s="302"/>
      <c r="B59" s="23" t="s">
        <v>407</v>
      </c>
      <c r="C59" s="23" t="s">
        <v>290</v>
      </c>
      <c r="D59" s="23" t="s">
        <v>11</v>
      </c>
      <c r="E59" s="117" t="s">
        <v>325</v>
      </c>
      <c r="F59" s="117" t="s">
        <v>398</v>
      </c>
      <c r="G59" s="122"/>
      <c r="H59" s="119"/>
      <c r="I59" s="214"/>
      <c r="J59" s="294"/>
      <c r="K59" s="284"/>
      <c r="L59" s="44"/>
    </row>
    <row r="60" spans="1:13">
      <c r="A60" s="302"/>
      <c r="B60" s="23" t="s">
        <v>408</v>
      </c>
      <c r="C60" s="23" t="s">
        <v>290</v>
      </c>
      <c r="D60" s="23" t="s">
        <v>11</v>
      </c>
      <c r="E60" s="117" t="s">
        <v>308</v>
      </c>
      <c r="F60" s="117" t="s">
        <v>398</v>
      </c>
      <c r="G60" s="122"/>
      <c r="H60" s="119"/>
      <c r="I60" s="214"/>
      <c r="J60" s="294"/>
      <c r="K60" s="284"/>
      <c r="L60" s="44"/>
      <c r="M60" s="51"/>
    </row>
    <row r="61" spans="1:13" ht="219.95">
      <c r="A61" s="302"/>
      <c r="B61" s="23" t="s">
        <v>409</v>
      </c>
      <c r="C61" s="23"/>
      <c r="D61" s="23" t="s">
        <v>7</v>
      </c>
      <c r="E61" s="117"/>
      <c r="F61" s="117" t="s">
        <v>398</v>
      </c>
      <c r="G61" s="139" t="s">
        <v>410</v>
      </c>
      <c r="H61" s="120">
        <v>44102</v>
      </c>
      <c r="I61" s="128">
        <v>3</v>
      </c>
      <c r="J61" s="284"/>
      <c r="K61" s="284"/>
      <c r="L61" s="44"/>
    </row>
    <row r="62" spans="1:13">
      <c r="A62" s="302"/>
      <c r="B62" s="23" t="s">
        <v>411</v>
      </c>
      <c r="C62" s="23" t="s">
        <v>290</v>
      </c>
      <c r="D62" s="23" t="s">
        <v>11</v>
      </c>
      <c r="E62" s="117" t="s">
        <v>308</v>
      </c>
      <c r="F62" s="117" t="s">
        <v>398</v>
      </c>
      <c r="G62" s="122"/>
      <c r="H62" s="119"/>
      <c r="I62" s="214"/>
      <c r="J62" s="294"/>
      <c r="K62" s="284"/>
      <c r="L62" s="44"/>
    </row>
    <row r="63" spans="1:13">
      <c r="A63" s="302"/>
      <c r="B63" s="23" t="s">
        <v>412</v>
      </c>
      <c r="C63" s="23" t="s">
        <v>290</v>
      </c>
      <c r="D63" s="23" t="s">
        <v>11</v>
      </c>
      <c r="E63" s="117" t="s">
        <v>308</v>
      </c>
      <c r="F63" s="117" t="s">
        <v>398</v>
      </c>
      <c r="G63" s="122"/>
      <c r="H63" s="119"/>
      <c r="I63" s="214"/>
      <c r="J63" s="294"/>
      <c r="K63" s="284"/>
      <c r="L63" s="44"/>
    </row>
    <row r="64" spans="1:13" ht="198">
      <c r="A64" s="302"/>
      <c r="B64" s="23" t="s">
        <v>413</v>
      </c>
      <c r="C64" s="23"/>
      <c r="D64" s="23" t="s">
        <v>7</v>
      </c>
      <c r="E64" s="117" t="s">
        <v>325</v>
      </c>
      <c r="F64" s="117" t="s">
        <v>309</v>
      </c>
      <c r="G64" s="139" t="s">
        <v>414</v>
      </c>
      <c r="H64" s="120">
        <v>43871</v>
      </c>
      <c r="I64" s="128">
        <v>3</v>
      </c>
      <c r="J64" s="284"/>
      <c r="K64" s="284"/>
      <c r="L64" s="44"/>
    </row>
    <row r="65" spans="1:13" ht="229.5" customHeight="1">
      <c r="A65" s="302"/>
      <c r="B65" s="23" t="s">
        <v>415</v>
      </c>
      <c r="C65" s="23"/>
      <c r="D65" s="23" t="s">
        <v>7</v>
      </c>
      <c r="E65" s="117" t="s">
        <v>308</v>
      </c>
      <c r="F65" s="117" t="s">
        <v>309</v>
      </c>
      <c r="G65" s="139" t="s">
        <v>416</v>
      </c>
      <c r="H65" s="120">
        <v>44823</v>
      </c>
      <c r="I65" s="128">
        <v>3</v>
      </c>
      <c r="J65" s="284"/>
      <c r="K65" s="284"/>
      <c r="L65" s="44"/>
    </row>
    <row r="66" spans="1:13">
      <c r="A66" s="300"/>
      <c r="B66" s="23" t="s">
        <v>417</v>
      </c>
      <c r="C66" s="23" t="s">
        <v>290</v>
      </c>
      <c r="D66" s="23" t="s">
        <v>11</v>
      </c>
      <c r="E66" s="117" t="s">
        <v>325</v>
      </c>
      <c r="F66" s="117" t="s">
        <v>309</v>
      </c>
      <c r="G66" s="122"/>
      <c r="H66" s="119"/>
      <c r="I66" s="214"/>
      <c r="J66" s="294"/>
      <c r="K66" s="284"/>
      <c r="L66" s="44"/>
    </row>
    <row r="67" spans="1:13">
      <c r="A67" s="301" t="s">
        <v>402</v>
      </c>
      <c r="B67" s="17" t="s">
        <v>418</v>
      </c>
      <c r="C67" s="17" t="s">
        <v>290</v>
      </c>
      <c r="D67" s="17" t="s">
        <v>11</v>
      </c>
      <c r="E67" s="17" t="s">
        <v>325</v>
      </c>
      <c r="F67" s="118" t="s">
        <v>68</v>
      </c>
      <c r="G67" s="134"/>
      <c r="H67" s="130"/>
      <c r="I67" s="215"/>
      <c r="J67" s="285" t="s">
        <v>419</v>
      </c>
      <c r="K67" s="286">
        <v>13</v>
      </c>
      <c r="L67" s="44"/>
    </row>
    <row r="68" spans="1:13" ht="351.95">
      <c r="A68" s="301"/>
      <c r="B68" s="17" t="s">
        <v>420</v>
      </c>
      <c r="C68" s="17"/>
      <c r="D68" s="17" t="s">
        <v>7</v>
      </c>
      <c r="E68" s="118" t="s">
        <v>308</v>
      </c>
      <c r="F68" s="118" t="s">
        <v>421</v>
      </c>
      <c r="G68" s="100" t="s">
        <v>422</v>
      </c>
      <c r="H68" s="131">
        <v>44375</v>
      </c>
      <c r="I68" s="146">
        <v>4</v>
      </c>
      <c r="J68" s="286"/>
      <c r="K68" s="286"/>
      <c r="L68" s="44"/>
    </row>
    <row r="69" spans="1:13">
      <c r="A69" s="301"/>
      <c r="B69" s="17" t="s">
        <v>423</v>
      </c>
      <c r="C69" s="17" t="s">
        <v>290</v>
      </c>
      <c r="D69" s="17" t="s">
        <v>11</v>
      </c>
      <c r="E69" s="17" t="s">
        <v>325</v>
      </c>
      <c r="F69" s="118" t="s">
        <v>57</v>
      </c>
      <c r="G69" s="134"/>
      <c r="H69" s="130"/>
      <c r="I69" s="215"/>
      <c r="J69" s="285"/>
      <c r="K69" s="286"/>
      <c r="L69" s="44"/>
    </row>
    <row r="70" spans="1:13">
      <c r="A70" s="301"/>
      <c r="B70" s="17" t="s">
        <v>424</v>
      </c>
      <c r="C70" s="17" t="s">
        <v>290</v>
      </c>
      <c r="D70" s="17" t="s">
        <v>11</v>
      </c>
      <c r="E70" s="17" t="s">
        <v>325</v>
      </c>
      <c r="F70" s="118" t="s">
        <v>57</v>
      </c>
      <c r="G70" s="134"/>
      <c r="H70" s="130"/>
      <c r="I70" s="216"/>
      <c r="J70" s="285"/>
      <c r="K70" s="286"/>
      <c r="L70" s="44"/>
    </row>
    <row r="71" spans="1:13">
      <c r="A71" s="301"/>
      <c r="B71" s="17" t="s">
        <v>425</v>
      </c>
      <c r="C71" s="17" t="s">
        <v>290</v>
      </c>
      <c r="D71" s="17" t="s">
        <v>11</v>
      </c>
      <c r="E71" s="17" t="s">
        <v>308</v>
      </c>
      <c r="F71" s="17" t="s">
        <v>68</v>
      </c>
      <c r="G71" s="134"/>
      <c r="H71" s="147"/>
      <c r="I71" s="215"/>
      <c r="J71" s="285"/>
      <c r="K71" s="286"/>
      <c r="L71" s="44"/>
      <c r="M71" s="51"/>
    </row>
    <row r="72" spans="1:13" ht="285.95">
      <c r="A72" s="301"/>
      <c r="B72" s="17" t="s">
        <v>426</v>
      </c>
      <c r="C72" s="17"/>
      <c r="D72" s="17" t="s">
        <v>7</v>
      </c>
      <c r="E72" s="17" t="s">
        <v>308</v>
      </c>
      <c r="F72" s="17" t="s">
        <v>57</v>
      </c>
      <c r="G72" s="100" t="s">
        <v>427</v>
      </c>
      <c r="H72" s="149">
        <v>43598</v>
      </c>
      <c r="I72" s="146">
        <v>4</v>
      </c>
      <c r="J72" s="285"/>
      <c r="K72" s="286"/>
      <c r="L72" s="44"/>
    </row>
    <row r="73" spans="1:13" ht="409.6">
      <c r="A73" s="301"/>
      <c r="B73" s="17" t="s">
        <v>428</v>
      </c>
      <c r="C73" s="17"/>
      <c r="D73" s="17" t="s">
        <v>7</v>
      </c>
      <c r="E73" s="17" t="s">
        <v>325</v>
      </c>
      <c r="F73" s="17" t="s">
        <v>68</v>
      </c>
      <c r="G73" s="100" t="s">
        <v>429</v>
      </c>
      <c r="H73" s="148">
        <v>43472</v>
      </c>
      <c r="I73" s="146">
        <v>3</v>
      </c>
      <c r="J73" s="285"/>
      <c r="K73" s="286"/>
      <c r="L73" s="44"/>
    </row>
    <row r="74" spans="1:13">
      <c r="A74" s="301"/>
      <c r="B74" s="17" t="s">
        <v>430</v>
      </c>
      <c r="C74" s="17" t="s">
        <v>316</v>
      </c>
      <c r="D74" s="17" t="s">
        <v>11</v>
      </c>
      <c r="E74" s="17" t="s">
        <v>308</v>
      </c>
      <c r="F74" s="17" t="s">
        <v>57</v>
      </c>
      <c r="G74" s="134"/>
      <c r="H74" s="147"/>
      <c r="I74" s="215"/>
      <c r="J74" s="285"/>
      <c r="K74" s="286"/>
      <c r="L74" s="44"/>
    </row>
    <row r="75" spans="1:13" ht="176.1">
      <c r="A75" s="301"/>
      <c r="B75" s="17" t="s">
        <v>431</v>
      </c>
      <c r="C75" s="17"/>
      <c r="D75" s="17" t="s">
        <v>7</v>
      </c>
      <c r="E75" s="17" t="s">
        <v>325</v>
      </c>
      <c r="F75" s="17" t="s">
        <v>57</v>
      </c>
      <c r="G75" s="100" t="s">
        <v>432</v>
      </c>
      <c r="H75" s="148">
        <v>44102</v>
      </c>
      <c r="I75" s="146">
        <v>3</v>
      </c>
      <c r="J75" s="285"/>
      <c r="K75" s="286"/>
      <c r="L75" s="44"/>
    </row>
    <row r="76" spans="1:13">
      <c r="A76" s="301"/>
      <c r="B76" s="17" t="s">
        <v>433</v>
      </c>
      <c r="C76" s="17" t="s">
        <v>290</v>
      </c>
      <c r="D76" s="17" t="s">
        <v>11</v>
      </c>
      <c r="E76" s="17" t="s">
        <v>325</v>
      </c>
      <c r="F76" s="17" t="s">
        <v>68</v>
      </c>
      <c r="G76" s="134"/>
      <c r="H76" s="147"/>
      <c r="I76" s="215"/>
      <c r="J76" s="285"/>
      <c r="K76" s="286"/>
      <c r="L76" s="44"/>
    </row>
    <row r="77" spans="1:13">
      <c r="A77" s="301"/>
      <c r="B77" s="17" t="s">
        <v>434</v>
      </c>
      <c r="C77" s="17" t="s">
        <v>290</v>
      </c>
      <c r="D77" s="17" t="s">
        <v>11</v>
      </c>
      <c r="E77" s="17" t="s">
        <v>308</v>
      </c>
      <c r="F77" s="17" t="s">
        <v>435</v>
      </c>
      <c r="G77" s="134"/>
      <c r="H77" s="147"/>
      <c r="I77" s="215"/>
      <c r="J77" s="285"/>
      <c r="K77" s="286"/>
      <c r="L77" s="44"/>
    </row>
    <row r="78" spans="1:13" ht="285.95">
      <c r="A78" s="301"/>
      <c r="B78" s="17" t="s">
        <v>436</v>
      </c>
      <c r="C78" s="17"/>
      <c r="D78" s="17" t="s">
        <v>7</v>
      </c>
      <c r="E78" s="17" t="s">
        <v>308</v>
      </c>
      <c r="F78" s="17" t="s">
        <v>57</v>
      </c>
      <c r="G78" s="100" t="s">
        <v>437</v>
      </c>
      <c r="H78" s="147" t="s">
        <v>438</v>
      </c>
      <c r="I78" s="146">
        <v>4</v>
      </c>
      <c r="J78" s="285"/>
      <c r="K78" s="286"/>
      <c r="L78" s="44"/>
    </row>
    <row r="79" spans="1:13" ht="330">
      <c r="A79" s="301"/>
      <c r="B79" s="17" t="s">
        <v>439</v>
      </c>
      <c r="C79" s="17"/>
      <c r="D79" s="17" t="s">
        <v>7</v>
      </c>
      <c r="E79" s="17" t="s">
        <v>308</v>
      </c>
      <c r="F79" s="17" t="s">
        <v>57</v>
      </c>
      <c r="G79" s="100" t="s">
        <v>440</v>
      </c>
      <c r="H79" s="148">
        <v>44536</v>
      </c>
      <c r="I79" s="146">
        <v>4</v>
      </c>
      <c r="J79" s="285"/>
      <c r="K79" s="286"/>
      <c r="L79" s="44"/>
    </row>
    <row r="80" spans="1:13" ht="44.1">
      <c r="A80" s="20" t="s">
        <v>434</v>
      </c>
      <c r="B80" s="20" t="s">
        <v>441</v>
      </c>
      <c r="C80" s="20" t="s">
        <v>316</v>
      </c>
      <c r="D80" s="20" t="s">
        <v>11</v>
      </c>
      <c r="E80" s="20" t="s">
        <v>308</v>
      </c>
      <c r="F80" s="20" t="s">
        <v>435</v>
      </c>
      <c r="G80" s="143"/>
      <c r="H80" s="20"/>
      <c r="I80" s="217"/>
      <c r="J80" s="209" t="s">
        <v>442</v>
      </c>
      <c r="K80" s="49">
        <v>1</v>
      </c>
      <c r="L80" s="44"/>
    </row>
    <row r="81" spans="1:12">
      <c r="J81" s="218"/>
      <c r="K81" s="49"/>
      <c r="L81" s="44"/>
    </row>
    <row r="82" spans="1:12">
      <c r="K82" s="26">
        <f>SUM(K2:K81)</f>
        <v>78</v>
      </c>
      <c r="L82" s="39"/>
    </row>
    <row r="84" spans="1:12">
      <c r="A84" s="32" t="s">
        <v>273</v>
      </c>
      <c r="B84" s="32" t="s">
        <v>274</v>
      </c>
      <c r="C84" s="18"/>
    </row>
    <row r="85" spans="1:12" ht="66">
      <c r="A85" s="16" t="s">
        <v>278</v>
      </c>
      <c r="B85" s="16" t="s">
        <v>279</v>
      </c>
      <c r="D85" s="103" t="s">
        <v>443</v>
      </c>
      <c r="E85" s="103"/>
      <c r="J85"/>
    </row>
    <row r="86" spans="1:12">
      <c r="A86" s="16" t="s">
        <v>444</v>
      </c>
      <c r="B86" s="16" t="s">
        <v>445</v>
      </c>
      <c r="D86" s="104" t="s">
        <v>446</v>
      </c>
      <c r="E86" s="104"/>
    </row>
    <row r="87" spans="1:12">
      <c r="A87" s="16" t="s">
        <v>281</v>
      </c>
      <c r="B87" s="16" t="s">
        <v>447</v>
      </c>
      <c r="D87" s="104" t="s">
        <v>446</v>
      </c>
      <c r="E87" s="104"/>
    </row>
    <row r="88" spans="1:12">
      <c r="A88" s="16" t="s">
        <v>448</v>
      </c>
      <c r="B88" s="16" t="s">
        <v>279</v>
      </c>
      <c r="D88" s="104" t="s">
        <v>449</v>
      </c>
      <c r="E88" s="104"/>
    </row>
    <row r="89" spans="1:12">
      <c r="A89" s="16" t="s">
        <v>450</v>
      </c>
      <c r="B89" s="16" t="s">
        <v>451</v>
      </c>
      <c r="D89" s="104" t="s">
        <v>452</v>
      </c>
      <c r="E89" s="104"/>
    </row>
    <row r="90" spans="1:12">
      <c r="A90" s="16" t="s">
        <v>453</v>
      </c>
      <c r="B90" s="16" t="s">
        <v>445</v>
      </c>
      <c r="D90" s="104" t="s">
        <v>454</v>
      </c>
      <c r="E90" s="104"/>
    </row>
    <row r="91" spans="1:12">
      <c r="A91" s="16" t="s">
        <v>450</v>
      </c>
      <c r="B91" s="16" t="s">
        <v>451</v>
      </c>
      <c r="D91" s="104" t="s">
        <v>455</v>
      </c>
      <c r="E91" s="104"/>
    </row>
    <row r="92" spans="1:12">
      <c r="A92" s="16"/>
      <c r="B92" s="16"/>
    </row>
    <row r="95" spans="1:12">
      <c r="J95" s="219" t="s">
        <v>3</v>
      </c>
      <c r="K95" s="36" t="s">
        <v>456</v>
      </c>
      <c r="L95" s="36"/>
    </row>
    <row r="96" spans="1:12">
      <c r="J96" s="220" t="s">
        <v>457</v>
      </c>
      <c r="K96" s="35">
        <v>40</v>
      </c>
      <c r="L96" s="35"/>
    </row>
    <row r="97" spans="10:12">
      <c r="J97" s="220" t="s">
        <v>458</v>
      </c>
      <c r="K97" s="35">
        <v>38</v>
      </c>
      <c r="L97" s="35"/>
    </row>
    <row r="98" spans="10:12">
      <c r="J98" s="220" t="s">
        <v>459</v>
      </c>
      <c r="K98" s="35">
        <v>19</v>
      </c>
      <c r="L98" s="35"/>
    </row>
    <row r="99" spans="10:12">
      <c r="J99" s="220" t="s">
        <v>460</v>
      </c>
      <c r="K99" s="35">
        <v>80</v>
      </c>
      <c r="L99" s="35"/>
    </row>
  </sheetData>
  <autoFilter ref="A1:M80" xr:uid="{723634B7-AEA8-EB4C-9140-879E0E3D0633}"/>
  <mergeCells count="45">
    <mergeCell ref="K17:K22"/>
    <mergeCell ref="A23:A27"/>
    <mergeCell ref="A28:A31"/>
    <mergeCell ref="A33:A42"/>
    <mergeCell ref="J28:J32"/>
    <mergeCell ref="A5:A11"/>
    <mergeCell ref="A12:A16"/>
    <mergeCell ref="A17:A22"/>
    <mergeCell ref="A43:A44"/>
    <mergeCell ref="A45:A49"/>
    <mergeCell ref="A67:A79"/>
    <mergeCell ref="A57:A66"/>
    <mergeCell ref="J50:J53"/>
    <mergeCell ref="J54:J56"/>
    <mergeCell ref="B52:B53"/>
    <mergeCell ref="D52:D53"/>
    <mergeCell ref="F52:F53"/>
    <mergeCell ref="B57:B58"/>
    <mergeCell ref="D57:D58"/>
    <mergeCell ref="F57:F58"/>
    <mergeCell ref="C52:C53"/>
    <mergeCell ref="E52:E53"/>
    <mergeCell ref="J12:J16"/>
    <mergeCell ref="J23:J27"/>
    <mergeCell ref="J57:J66"/>
    <mergeCell ref="A50:A53"/>
    <mergeCell ref="A54:A56"/>
    <mergeCell ref="J17:J22"/>
    <mergeCell ref="E57:E58"/>
    <mergeCell ref="K57:K66"/>
    <mergeCell ref="J67:J79"/>
    <mergeCell ref="K67:K79"/>
    <mergeCell ref="K2:K4"/>
    <mergeCell ref="K5:K11"/>
    <mergeCell ref="K12:K16"/>
    <mergeCell ref="K23:K27"/>
    <mergeCell ref="K33:K42"/>
    <mergeCell ref="K43:K49"/>
    <mergeCell ref="K50:K53"/>
    <mergeCell ref="K54:K56"/>
    <mergeCell ref="K28:K32"/>
    <mergeCell ref="J33:J42"/>
    <mergeCell ref="J43:J49"/>
    <mergeCell ref="J2:J4"/>
    <mergeCell ref="J5:J11"/>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C025A-27DC-4F36-9C00-C57D225101A6}">
  <sheetPr>
    <tabColor rgb="FF0070C0"/>
  </sheetPr>
  <dimension ref="A1:I110"/>
  <sheetViews>
    <sheetView workbookViewId="0">
      <selection activeCell="G4" sqref="G4"/>
    </sheetView>
  </sheetViews>
  <sheetFormatPr defaultColWidth="11.42578125" defaultRowHeight="15"/>
  <cols>
    <col min="1" max="1" width="20" customWidth="1"/>
    <col min="2" max="2" width="29.7109375" customWidth="1"/>
    <col min="3" max="3" width="17.42578125" customWidth="1"/>
    <col min="4" max="4" width="15.85546875" customWidth="1"/>
    <col min="5" max="5" width="27.7109375" customWidth="1"/>
    <col min="6" max="6" width="18.85546875" customWidth="1"/>
    <col min="7" max="7" width="52.42578125" customWidth="1"/>
    <col min="8" max="8" width="25.42578125" customWidth="1"/>
    <col min="9" max="9" width="41.42578125" customWidth="1"/>
  </cols>
  <sheetData>
    <row r="1" spans="1:9" ht="87.95">
      <c r="A1" s="7" t="s">
        <v>0</v>
      </c>
      <c r="B1" s="8" t="s">
        <v>1</v>
      </c>
      <c r="C1" s="9" t="s">
        <v>2</v>
      </c>
      <c r="D1" s="37" t="s">
        <v>3</v>
      </c>
      <c r="E1" s="32" t="s">
        <v>4</v>
      </c>
      <c r="F1" s="32" t="s">
        <v>5</v>
      </c>
      <c r="G1" s="63" t="s">
        <v>28</v>
      </c>
      <c r="H1" s="6" t="s">
        <v>29</v>
      </c>
      <c r="I1" s="63" t="s">
        <v>30</v>
      </c>
    </row>
    <row r="2" spans="1:9" ht="21">
      <c r="A2" s="248" t="s">
        <v>461</v>
      </c>
      <c r="B2" s="21" t="s">
        <v>279</v>
      </c>
      <c r="C2" s="21" t="s">
        <v>11</v>
      </c>
      <c r="D2" s="21" t="s">
        <v>462</v>
      </c>
      <c r="E2" s="252" t="s">
        <v>23</v>
      </c>
      <c r="F2" s="251">
        <v>4</v>
      </c>
      <c r="G2" s="64"/>
      <c r="H2" s="64"/>
      <c r="I2" s="64"/>
    </row>
    <row r="3" spans="1:9" ht="21">
      <c r="A3" s="248"/>
      <c r="B3" s="21" t="s">
        <v>463</v>
      </c>
      <c r="C3" s="21" t="s">
        <v>11</v>
      </c>
      <c r="D3" s="21" t="s">
        <v>462</v>
      </c>
      <c r="E3" s="251"/>
      <c r="F3" s="251"/>
      <c r="G3" s="64"/>
      <c r="H3" s="64"/>
      <c r="I3" s="64"/>
    </row>
    <row r="4" spans="1:9" ht="249">
      <c r="A4" s="248"/>
      <c r="B4" s="21" t="s">
        <v>464</v>
      </c>
      <c r="C4" s="21" t="s">
        <v>7</v>
      </c>
      <c r="D4" s="21" t="s">
        <v>462</v>
      </c>
      <c r="E4" s="251"/>
      <c r="F4" s="251"/>
      <c r="G4" s="241" t="s">
        <v>465</v>
      </c>
      <c r="H4" s="108">
        <v>45733</v>
      </c>
      <c r="I4" s="64"/>
    </row>
    <row r="5" spans="1:9" ht="21">
      <c r="A5" s="248"/>
      <c r="B5" s="21"/>
      <c r="C5" s="21"/>
      <c r="D5" s="21"/>
      <c r="E5" s="11"/>
      <c r="F5" s="251"/>
      <c r="G5" s="64"/>
      <c r="H5" s="64"/>
      <c r="I5" s="64"/>
    </row>
    <row r="6" spans="1:9" ht="21">
      <c r="A6" s="248"/>
      <c r="B6" s="21"/>
      <c r="C6" s="21"/>
      <c r="D6" s="21"/>
      <c r="E6" s="11"/>
      <c r="F6" s="251"/>
      <c r="G6" s="53"/>
      <c r="H6" s="53"/>
      <c r="I6" s="53"/>
    </row>
    <row r="7" spans="1:9" ht="21">
      <c r="G7" s="53"/>
      <c r="H7" s="53"/>
      <c r="I7" s="53"/>
    </row>
    <row r="8" spans="1:9" ht="21">
      <c r="G8" s="53"/>
      <c r="H8" s="53"/>
      <c r="I8" s="53"/>
    </row>
    <row r="9" spans="1:9" ht="21">
      <c r="G9" s="53"/>
      <c r="H9" s="53"/>
      <c r="I9" s="53"/>
    </row>
    <row r="10" spans="1:9" ht="21">
      <c r="G10" s="53"/>
      <c r="H10" s="53"/>
      <c r="I10" s="53"/>
    </row>
    <row r="11" spans="1:9" ht="21">
      <c r="G11" s="53"/>
      <c r="H11" s="53"/>
      <c r="I11" s="53"/>
    </row>
    <row r="12" spans="1:9" ht="21.95" thickBot="1">
      <c r="G12" s="54"/>
      <c r="H12" s="54"/>
      <c r="I12" s="54"/>
    </row>
    <row r="13" spans="1:9" ht="21">
      <c r="G13" s="55"/>
      <c r="H13" s="55"/>
      <c r="I13" s="55"/>
    </row>
    <row r="14" spans="1:9" ht="21">
      <c r="G14" s="56"/>
      <c r="H14" s="56"/>
      <c r="I14" s="56"/>
    </row>
    <row r="15" spans="1:9" ht="21">
      <c r="G15" s="56"/>
      <c r="H15" s="56"/>
      <c r="I15" s="56"/>
    </row>
    <row r="16" spans="1:9" ht="21">
      <c r="G16" s="56"/>
      <c r="H16" s="56"/>
      <c r="I16" s="56"/>
    </row>
    <row r="17" spans="7:9" ht="21">
      <c r="G17" s="56"/>
      <c r="H17" s="56"/>
      <c r="I17" s="56"/>
    </row>
    <row r="18" spans="7:9" ht="21">
      <c r="G18" s="56"/>
      <c r="H18" s="56"/>
      <c r="I18" s="56"/>
    </row>
    <row r="19" spans="7:9" ht="21">
      <c r="G19" s="56"/>
      <c r="H19" s="56"/>
      <c r="I19" s="56"/>
    </row>
    <row r="20" spans="7:9" ht="21">
      <c r="G20" s="56"/>
      <c r="H20" s="56"/>
      <c r="I20" s="56"/>
    </row>
    <row r="21" spans="7:9" ht="21">
      <c r="G21" s="56"/>
      <c r="H21" s="56"/>
      <c r="I21" s="56"/>
    </row>
    <row r="22" spans="7:9" ht="21">
      <c r="G22" s="56"/>
      <c r="H22" s="56"/>
      <c r="I22" s="56"/>
    </row>
    <row r="23" spans="7:9" ht="21">
      <c r="G23" s="56"/>
      <c r="H23" s="56"/>
      <c r="I23" s="56"/>
    </row>
    <row r="24" spans="7:9" ht="21">
      <c r="G24" s="56"/>
      <c r="H24" s="56"/>
      <c r="I24" s="56"/>
    </row>
    <row r="25" spans="7:9" ht="21">
      <c r="G25" s="56"/>
      <c r="H25" s="56"/>
      <c r="I25" s="56"/>
    </row>
    <row r="26" spans="7:9" ht="21">
      <c r="G26" s="56"/>
      <c r="H26" s="56"/>
      <c r="I26" s="56"/>
    </row>
    <row r="27" spans="7:9" ht="21">
      <c r="G27" s="56"/>
      <c r="H27" s="56"/>
      <c r="I27" s="56"/>
    </row>
    <row r="28" spans="7:9" ht="21">
      <c r="G28" s="58"/>
      <c r="H28" s="58"/>
      <c r="I28" s="58"/>
    </row>
    <row r="29" spans="7:9" ht="21">
      <c r="G29" s="58"/>
      <c r="H29" s="58"/>
      <c r="I29" s="58"/>
    </row>
    <row r="30" spans="7:9" ht="21">
      <c r="G30" s="58"/>
      <c r="H30" s="58"/>
      <c r="I30" s="58"/>
    </row>
    <row r="31" spans="7:9" ht="21">
      <c r="G31" s="58"/>
      <c r="H31" s="58"/>
      <c r="I31" s="58"/>
    </row>
    <row r="32" spans="7:9" ht="21">
      <c r="G32" s="58"/>
      <c r="H32" s="58"/>
      <c r="I32" s="58"/>
    </row>
    <row r="33" spans="7:9" ht="21">
      <c r="G33" s="58"/>
      <c r="H33" s="58"/>
      <c r="I33" s="58"/>
    </row>
    <row r="34" spans="7:9" ht="21">
      <c r="G34" s="58"/>
      <c r="H34" s="58"/>
      <c r="I34" s="58"/>
    </row>
    <row r="35" spans="7:9" ht="21">
      <c r="G35" s="58"/>
      <c r="H35" s="58"/>
      <c r="I35" s="58"/>
    </row>
    <row r="36" spans="7:9" ht="21">
      <c r="G36" s="58"/>
      <c r="H36" s="58"/>
      <c r="I36" s="58"/>
    </row>
    <row r="37" spans="7:9" ht="21">
      <c r="G37" s="58"/>
      <c r="H37" s="58"/>
      <c r="I37" s="58"/>
    </row>
    <row r="38" spans="7:9" ht="21">
      <c r="G38" s="58"/>
      <c r="H38" s="58"/>
      <c r="I38" s="58"/>
    </row>
    <row r="39" spans="7:9" ht="21">
      <c r="G39" s="58"/>
      <c r="H39" s="58"/>
      <c r="I39" s="58"/>
    </row>
    <row r="40" spans="7:9" ht="21">
      <c r="G40" s="58"/>
      <c r="H40" s="58"/>
      <c r="I40" s="58"/>
    </row>
    <row r="41" spans="7:9" ht="21">
      <c r="G41" s="58"/>
      <c r="H41" s="58"/>
      <c r="I41" s="58"/>
    </row>
    <row r="42" spans="7:9" ht="21.95" thickBot="1">
      <c r="G42" s="59"/>
      <c r="H42" s="59"/>
      <c r="I42" s="59"/>
    </row>
    <row r="43" spans="7:9" ht="21">
      <c r="G43" s="60"/>
      <c r="H43" s="60"/>
      <c r="I43" s="60"/>
    </row>
    <row r="44" spans="7:9" ht="21">
      <c r="G44" s="61"/>
      <c r="H44" s="61"/>
      <c r="I44" s="61"/>
    </row>
    <row r="45" spans="7:9" ht="21">
      <c r="G45" s="61"/>
      <c r="H45" s="61"/>
      <c r="I45" s="61"/>
    </row>
    <row r="46" spans="7:9" ht="21">
      <c r="G46" s="61"/>
      <c r="H46" s="61"/>
      <c r="I46" s="61"/>
    </row>
    <row r="47" spans="7:9" ht="21">
      <c r="G47" s="61"/>
      <c r="H47" s="61"/>
      <c r="I47" s="61"/>
    </row>
    <row r="48" spans="7:9" ht="21">
      <c r="G48" s="61"/>
      <c r="H48" s="61"/>
      <c r="I48" s="61"/>
    </row>
    <row r="49" spans="7:9" ht="21">
      <c r="G49" s="61"/>
      <c r="H49" s="61"/>
      <c r="I49" s="61"/>
    </row>
    <row r="50" spans="7:9" ht="21">
      <c r="G50" s="61"/>
      <c r="H50" s="61"/>
      <c r="I50" s="61"/>
    </row>
    <row r="51" spans="7:9" ht="21">
      <c r="G51" s="61"/>
      <c r="H51" s="61"/>
      <c r="I51" s="61"/>
    </row>
    <row r="52" spans="7:9" ht="21">
      <c r="G52" s="61"/>
      <c r="H52" s="61"/>
      <c r="I52" s="61"/>
    </row>
    <row r="53" spans="7:9" ht="21">
      <c r="G53" s="61"/>
      <c r="H53" s="61"/>
      <c r="I53" s="61"/>
    </row>
    <row r="54" spans="7:9" ht="21">
      <c r="G54" s="61"/>
      <c r="H54" s="61"/>
      <c r="I54" s="61"/>
    </row>
    <row r="55" spans="7:9" ht="21">
      <c r="G55" s="61"/>
      <c r="H55" s="61"/>
      <c r="I55" s="61"/>
    </row>
    <row r="56" spans="7:9" ht="21">
      <c r="G56" s="61"/>
      <c r="H56" s="61"/>
      <c r="I56" s="61"/>
    </row>
    <row r="57" spans="7:9" ht="21">
      <c r="G57" s="61"/>
      <c r="H57" s="61"/>
      <c r="I57" s="61"/>
    </row>
    <row r="58" spans="7:9" ht="21">
      <c r="G58" s="61"/>
      <c r="H58" s="61"/>
      <c r="I58" s="61"/>
    </row>
    <row r="59" spans="7:9" ht="21">
      <c r="G59" s="61"/>
      <c r="H59" s="61"/>
      <c r="I59" s="61"/>
    </row>
    <row r="60" spans="7:9" ht="21">
      <c r="G60" s="61"/>
      <c r="H60" s="61"/>
      <c r="I60" s="61"/>
    </row>
    <row r="61" spans="7:9" ht="21">
      <c r="G61" s="61"/>
      <c r="H61" s="61"/>
      <c r="I61" s="61"/>
    </row>
    <row r="62" spans="7:9" ht="21">
      <c r="G62" s="61"/>
      <c r="H62" s="61"/>
      <c r="I62" s="61"/>
    </row>
    <row r="63" spans="7:9" ht="21">
      <c r="G63" s="61"/>
      <c r="H63" s="61"/>
      <c r="I63" s="61"/>
    </row>
    <row r="64" spans="7:9" ht="21">
      <c r="G64" s="61"/>
      <c r="H64" s="61"/>
      <c r="I64" s="61"/>
    </row>
    <row r="65" spans="7:9" ht="21">
      <c r="G65" s="61"/>
      <c r="H65" s="61"/>
      <c r="I65" s="61"/>
    </row>
    <row r="66" spans="7:9" ht="21">
      <c r="G66" s="61"/>
      <c r="H66" s="61"/>
      <c r="I66" s="61"/>
    </row>
    <row r="67" spans="7:9" ht="21">
      <c r="G67" s="61"/>
      <c r="H67" s="61"/>
      <c r="I67" s="61"/>
    </row>
    <row r="68" spans="7:9" ht="21">
      <c r="G68" s="61"/>
      <c r="H68" s="61"/>
      <c r="I68" s="61"/>
    </row>
    <row r="69" spans="7:9" ht="21">
      <c r="G69" s="61"/>
      <c r="H69" s="61"/>
      <c r="I69" s="61"/>
    </row>
    <row r="70" spans="7:9" ht="21">
      <c r="G70" s="61"/>
      <c r="H70" s="61"/>
      <c r="I70" s="61"/>
    </row>
    <row r="71" spans="7:9" ht="21">
      <c r="G71" s="61"/>
      <c r="H71" s="61"/>
      <c r="I71" s="61"/>
    </row>
    <row r="72" spans="7:9" ht="21">
      <c r="G72" s="61"/>
      <c r="H72" s="61"/>
      <c r="I72" s="61"/>
    </row>
    <row r="73" spans="7:9" ht="21">
      <c r="G73" s="61"/>
      <c r="H73" s="61"/>
      <c r="I73" s="61"/>
    </row>
    <row r="74" spans="7:9" ht="21">
      <c r="G74" s="61"/>
      <c r="H74" s="61"/>
      <c r="I74" s="61"/>
    </row>
    <row r="75" spans="7:9" ht="21">
      <c r="G75" s="61"/>
      <c r="H75" s="61"/>
      <c r="I75" s="61"/>
    </row>
    <row r="76" spans="7:9" ht="21">
      <c r="G76" s="61"/>
      <c r="H76" s="61"/>
      <c r="I76" s="61"/>
    </row>
    <row r="77" spans="7:9" ht="21">
      <c r="G77" s="61"/>
      <c r="H77" s="61"/>
      <c r="I77" s="61"/>
    </row>
    <row r="78" spans="7:9" ht="21">
      <c r="G78" s="61"/>
      <c r="H78" s="61"/>
      <c r="I78" s="61"/>
    </row>
    <row r="79" spans="7:9" ht="21">
      <c r="G79" s="61"/>
      <c r="H79" s="61"/>
      <c r="I79" s="61"/>
    </row>
    <row r="80" spans="7:9" ht="21">
      <c r="G80" s="61"/>
      <c r="H80" s="61"/>
      <c r="I80" s="61"/>
    </row>
    <row r="81" spans="7:9" ht="21.95" thickBot="1">
      <c r="G81" s="62"/>
      <c r="H81" s="62"/>
      <c r="I81" s="62"/>
    </row>
    <row r="82" spans="7:9" ht="21">
      <c r="G82" s="1"/>
      <c r="H82" s="1"/>
      <c r="I82" s="1"/>
    </row>
    <row r="83" spans="7:9" ht="21">
      <c r="G83" s="27"/>
      <c r="H83" s="27"/>
      <c r="I83" s="27"/>
    </row>
    <row r="84" spans="7:9" ht="21">
      <c r="G84" s="28"/>
      <c r="H84" s="28"/>
      <c r="I84" s="28"/>
    </row>
    <row r="85" spans="7:9" ht="21">
      <c r="G85" s="1"/>
      <c r="H85" s="1"/>
      <c r="I85" s="1"/>
    </row>
    <row r="86" spans="7:9" ht="21">
      <c r="G86" s="1"/>
      <c r="H86" s="1"/>
      <c r="I86" s="1"/>
    </row>
    <row r="87" spans="7:9" ht="21">
      <c r="G87" s="1"/>
      <c r="H87" s="1"/>
      <c r="I87" s="1"/>
    </row>
    <row r="88" spans="7:9" ht="21">
      <c r="G88" s="1"/>
      <c r="H88" s="1"/>
      <c r="I88" s="1"/>
    </row>
    <row r="89" spans="7:9" ht="21">
      <c r="G89" s="1"/>
      <c r="H89" s="1"/>
      <c r="I89" s="1"/>
    </row>
    <row r="90" spans="7:9" ht="21">
      <c r="G90" s="1"/>
      <c r="H90" s="1"/>
      <c r="I90" s="1"/>
    </row>
    <row r="91" spans="7:9" ht="21">
      <c r="G91" s="20"/>
      <c r="H91" s="20"/>
      <c r="I91" s="20"/>
    </row>
    <row r="92" spans="7:9" ht="21">
      <c r="G92" s="20"/>
      <c r="H92" s="20"/>
      <c r="I92" s="20"/>
    </row>
    <row r="93" spans="7:9" ht="21">
      <c r="G93" s="10"/>
      <c r="H93" s="10"/>
      <c r="I93" s="10"/>
    </row>
    <row r="94" spans="7:9" ht="21">
      <c r="G94" s="10"/>
      <c r="H94" s="10"/>
      <c r="I94" s="10"/>
    </row>
    <row r="95" spans="7:9" ht="21">
      <c r="G95" s="10"/>
      <c r="H95" s="10"/>
      <c r="I95" s="10"/>
    </row>
    <row r="96" spans="7:9" ht="21">
      <c r="G96" s="10"/>
      <c r="H96" s="10"/>
      <c r="I96" s="10"/>
    </row>
    <row r="97" spans="7:9" ht="21">
      <c r="G97" s="10"/>
      <c r="H97" s="10"/>
      <c r="I97" s="10"/>
    </row>
    <row r="98" spans="7:9" ht="21">
      <c r="G98" s="10"/>
      <c r="H98" s="10"/>
      <c r="I98" s="10"/>
    </row>
    <row r="99" spans="7:9" ht="21">
      <c r="G99" s="10"/>
      <c r="H99" s="10"/>
      <c r="I99" s="10"/>
    </row>
    <row r="100" spans="7:9" ht="21">
      <c r="G100" s="10"/>
      <c r="H100" s="10"/>
      <c r="I100" s="10"/>
    </row>
    <row r="101" spans="7:9" ht="21">
      <c r="G101" s="10"/>
      <c r="H101" s="10"/>
      <c r="I101" s="10"/>
    </row>
    <row r="102" spans="7:9" ht="21">
      <c r="G102" s="10"/>
      <c r="H102" s="10"/>
      <c r="I102" s="10"/>
    </row>
    <row r="103" spans="7:9" ht="21">
      <c r="G103" s="10"/>
      <c r="H103" s="10"/>
      <c r="I103" s="10"/>
    </row>
    <row r="104" spans="7:9" ht="21">
      <c r="G104" s="10"/>
      <c r="H104" s="10"/>
      <c r="I104" s="10"/>
    </row>
    <row r="105" spans="7:9" ht="21">
      <c r="G105" s="10"/>
      <c r="H105" s="10"/>
      <c r="I105" s="10"/>
    </row>
    <row r="106" spans="7:9" ht="21">
      <c r="G106" s="10"/>
      <c r="H106" s="10"/>
      <c r="I106" s="10"/>
    </row>
    <row r="107" spans="7:9" ht="21">
      <c r="G107" s="10"/>
      <c r="H107" s="10"/>
      <c r="I107" s="10"/>
    </row>
    <row r="108" spans="7:9" ht="21">
      <c r="G108" s="10"/>
      <c r="H108" s="10"/>
      <c r="I108" s="10"/>
    </row>
    <row r="109" spans="7:9" ht="21">
      <c r="G109" s="10"/>
      <c r="H109" s="10"/>
      <c r="I109" s="10"/>
    </row>
    <row r="110" spans="7:9" ht="21">
      <c r="G110" s="10"/>
      <c r="H110" s="10"/>
      <c r="I110" s="10"/>
    </row>
  </sheetData>
  <mergeCells count="3">
    <mergeCell ref="A2:A6"/>
    <mergeCell ref="F2:F6"/>
    <mergeCell ref="E2:E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6BF70-149E-7145-B99E-64E6167A556D}">
  <sheetPr>
    <tabColor rgb="FFFF0000"/>
  </sheetPr>
  <dimension ref="G8:K21"/>
  <sheetViews>
    <sheetView topLeftCell="A15" workbookViewId="0">
      <selection activeCell="H34" sqref="H34"/>
    </sheetView>
  </sheetViews>
  <sheetFormatPr defaultColWidth="11.42578125" defaultRowHeight="15"/>
  <cols>
    <col min="8" max="8" width="32.42578125" customWidth="1"/>
    <col min="9" max="9" width="23" customWidth="1"/>
    <col min="10" max="10" width="36" customWidth="1"/>
    <col min="11" max="11" width="12.85546875" customWidth="1"/>
  </cols>
  <sheetData>
    <row r="8" spans="7:11" ht="21">
      <c r="G8" s="10"/>
    </row>
    <row r="9" spans="7:11" ht="21">
      <c r="G9" s="10"/>
    </row>
    <row r="10" spans="7:11" ht="30.95">
      <c r="G10" s="10"/>
      <c r="H10" s="30" t="s">
        <v>3</v>
      </c>
      <c r="I10" s="30" t="s">
        <v>466</v>
      </c>
      <c r="J10" s="30" t="s">
        <v>467</v>
      </c>
      <c r="K10" s="30" t="s">
        <v>8</v>
      </c>
    </row>
    <row r="11" spans="7:11" ht="30.95">
      <c r="G11" s="10"/>
      <c r="H11" s="31" t="s">
        <v>468</v>
      </c>
      <c r="I11" s="31">
        <v>20</v>
      </c>
      <c r="J11" s="31">
        <v>68</v>
      </c>
      <c r="K11" s="31">
        <v>89</v>
      </c>
    </row>
    <row r="12" spans="7:11" ht="30.95">
      <c r="G12" s="10"/>
      <c r="H12" s="31" t="s">
        <v>469</v>
      </c>
      <c r="I12" s="31">
        <v>0</v>
      </c>
      <c r="J12" s="31">
        <v>11</v>
      </c>
      <c r="K12" s="31">
        <v>10</v>
      </c>
    </row>
    <row r="13" spans="7:11" ht="30.95">
      <c r="G13" s="10"/>
      <c r="H13" s="31" t="s">
        <v>470</v>
      </c>
      <c r="I13" s="31">
        <v>40</v>
      </c>
      <c r="J13" s="31">
        <v>37</v>
      </c>
      <c r="K13" s="31">
        <v>78</v>
      </c>
    </row>
    <row r="14" spans="7:11" ht="30.95">
      <c r="G14" s="10"/>
      <c r="H14" s="31" t="s">
        <v>471</v>
      </c>
      <c r="I14" s="31">
        <v>8</v>
      </c>
      <c r="J14" s="31">
        <v>1</v>
      </c>
      <c r="K14" s="31">
        <v>9</v>
      </c>
    </row>
    <row r="15" spans="7:11" ht="30.95">
      <c r="G15" s="10"/>
      <c r="H15" s="31" t="s">
        <v>462</v>
      </c>
      <c r="I15" s="31">
        <v>3</v>
      </c>
      <c r="J15" s="31">
        <v>1</v>
      </c>
      <c r="K15" s="31">
        <v>4</v>
      </c>
    </row>
    <row r="16" spans="7:11" ht="30.95">
      <c r="G16" s="10"/>
      <c r="H16" s="31" t="s">
        <v>8</v>
      </c>
      <c r="I16" s="31"/>
      <c r="J16" s="31"/>
      <c r="K16" s="31"/>
    </row>
    <row r="17" spans="7:11" ht="21">
      <c r="G17" s="10"/>
      <c r="H17" s="253" t="s">
        <v>472</v>
      </c>
      <c r="I17" s="253"/>
      <c r="J17" s="253"/>
      <c r="K17" s="253"/>
    </row>
    <row r="18" spans="7:11" ht="21">
      <c r="G18" s="10"/>
    </row>
    <row r="19" spans="7:11" ht="21">
      <c r="G19" s="10"/>
    </row>
    <row r="20" spans="7:11" ht="21">
      <c r="G20" s="10"/>
    </row>
    <row r="21" spans="7:11" ht="21">
      <c r="G21" s="10"/>
    </row>
  </sheetData>
  <mergeCells count="1">
    <mergeCell ref="H17:K17"/>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EB425-6C3B-4CC8-BBC3-34F723E494B0}">
  <sheetPr>
    <tabColor rgb="FF0070C0"/>
  </sheetPr>
  <dimension ref="I10:L14"/>
  <sheetViews>
    <sheetView topLeftCell="C1" workbookViewId="0">
      <selection activeCell="O14" sqref="O14"/>
    </sheetView>
  </sheetViews>
  <sheetFormatPr defaultColWidth="11.42578125" defaultRowHeight="24"/>
  <cols>
    <col min="1" max="9" width="11.42578125" style="45"/>
    <col min="10" max="10" width="18.7109375" style="45" bestFit="1" customWidth="1"/>
    <col min="11" max="11" width="25.140625" style="45" bestFit="1" customWidth="1"/>
    <col min="12" max="12" width="7.85546875" style="45" bestFit="1" customWidth="1"/>
    <col min="13" max="16384" width="11.42578125" style="45"/>
  </cols>
  <sheetData>
    <row r="10" spans="9:12">
      <c r="I10" s="46" t="s">
        <v>473</v>
      </c>
      <c r="J10" s="46" t="s">
        <v>474</v>
      </c>
      <c r="K10" s="46" t="s">
        <v>475</v>
      </c>
      <c r="L10" s="46" t="s">
        <v>8</v>
      </c>
    </row>
    <row r="11" spans="9:12">
      <c r="I11" s="47" t="s">
        <v>476</v>
      </c>
      <c r="J11" s="48">
        <v>21</v>
      </c>
      <c r="K11" s="48">
        <v>28</v>
      </c>
      <c r="L11" s="48">
        <f>J11+K11</f>
        <v>49</v>
      </c>
    </row>
    <row r="12" spans="9:12">
      <c r="I12" s="47" t="s">
        <v>396</v>
      </c>
      <c r="J12" s="48">
        <v>15</v>
      </c>
      <c r="K12" s="48">
        <v>10</v>
      </c>
      <c r="L12" s="48">
        <v>24</v>
      </c>
    </row>
    <row r="13" spans="9:12">
      <c r="I13" s="47" t="s">
        <v>477</v>
      </c>
      <c r="J13" s="48">
        <v>4</v>
      </c>
      <c r="K13" s="48">
        <v>0</v>
      </c>
      <c r="L13" s="48">
        <v>4</v>
      </c>
    </row>
    <row r="14" spans="9:12">
      <c r="I14" s="47" t="s">
        <v>478</v>
      </c>
      <c r="J14" s="48">
        <v>19</v>
      </c>
      <c r="K14" s="48">
        <v>80</v>
      </c>
      <c r="L14" s="48">
        <v>99</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A1750-6087-4431-A574-F6F6D71C71C4}">
  <sheetPr>
    <tabColor theme="9"/>
  </sheetPr>
  <dimension ref="C4:AA73"/>
  <sheetViews>
    <sheetView topLeftCell="A4" zoomScale="130" zoomScaleNormal="130" workbookViewId="0"/>
  </sheetViews>
  <sheetFormatPr defaultColWidth="8.85546875" defaultRowHeight="15"/>
  <cols>
    <col min="3" max="3" width="43.42578125" bestFit="1" customWidth="1"/>
    <col min="4" max="9" width="13.28515625" customWidth="1"/>
    <col min="10" max="10" width="48.28515625" customWidth="1"/>
    <col min="11" max="12" width="8.85546875" hidden="1" customWidth="1"/>
    <col min="13" max="13" width="21.42578125" hidden="1" customWidth="1"/>
    <col min="14" max="14" width="15.42578125" hidden="1" customWidth="1"/>
    <col min="15" max="15" width="22.42578125" customWidth="1"/>
    <col min="16" max="16" width="58.85546875" style="225" customWidth="1"/>
    <col min="17" max="17" width="11" customWidth="1"/>
    <col min="21" max="21" width="10" bestFit="1" customWidth="1"/>
    <col min="23" max="23" width="9" bestFit="1" customWidth="1"/>
  </cols>
  <sheetData>
    <row r="4" spans="3:16" ht="26.1">
      <c r="C4" s="319" t="s">
        <v>479</v>
      </c>
      <c r="D4" s="319"/>
      <c r="E4" s="319"/>
      <c r="F4" s="319"/>
      <c r="G4" s="319"/>
      <c r="H4" s="319"/>
      <c r="I4" s="319"/>
      <c r="J4" s="319"/>
    </row>
    <row r="5" spans="3:16" ht="18.95">
      <c r="C5" s="323" t="s">
        <v>3</v>
      </c>
      <c r="D5" s="323" t="s">
        <v>480</v>
      </c>
      <c r="E5" s="323"/>
      <c r="F5" s="323" t="s">
        <v>468</v>
      </c>
      <c r="G5" s="323"/>
      <c r="H5" s="323" t="s">
        <v>8</v>
      </c>
      <c r="I5" s="323"/>
      <c r="J5" s="323" t="s">
        <v>481</v>
      </c>
      <c r="K5" s="320" t="s">
        <v>480</v>
      </c>
      <c r="L5" s="321"/>
      <c r="M5" s="321" t="s">
        <v>468</v>
      </c>
      <c r="N5" s="322"/>
      <c r="P5" s="318" t="s">
        <v>482</v>
      </c>
    </row>
    <row r="6" spans="3:16" ht="18.95">
      <c r="C6" s="323"/>
      <c r="D6" s="181" t="s">
        <v>483</v>
      </c>
      <c r="E6" s="181" t="s">
        <v>7</v>
      </c>
      <c r="F6" s="181" t="s">
        <v>484</v>
      </c>
      <c r="G6" s="181" t="s">
        <v>7</v>
      </c>
      <c r="H6" s="235" t="s">
        <v>483</v>
      </c>
      <c r="I6" s="235" t="s">
        <v>7</v>
      </c>
      <c r="J6" s="323"/>
      <c r="K6" s="177" t="s">
        <v>483</v>
      </c>
      <c r="L6" s="175" t="s">
        <v>7</v>
      </c>
      <c r="M6" s="175" t="s">
        <v>484</v>
      </c>
      <c r="N6" s="179" t="s">
        <v>7</v>
      </c>
      <c r="P6" s="318"/>
    </row>
    <row r="7" spans="3:16" ht="18.95">
      <c r="C7" s="173" t="s">
        <v>53</v>
      </c>
      <c r="D7" s="173">
        <v>1.25</v>
      </c>
      <c r="E7" s="173">
        <v>3</v>
      </c>
      <c r="F7" s="173">
        <f t="shared" ref="F7:F17" si="0">M7</f>
        <v>1.25</v>
      </c>
      <c r="G7" s="173">
        <f t="shared" ref="G7:G17" si="1">N7</f>
        <v>4.8</v>
      </c>
      <c r="H7" s="173">
        <f t="shared" ref="H7:H17" si="2">D7+F7</f>
        <v>2.5</v>
      </c>
      <c r="I7" s="173">
        <f t="shared" ref="I7:I17" si="3">E7+G7</f>
        <v>7.8</v>
      </c>
      <c r="J7" s="178" t="s">
        <v>485</v>
      </c>
      <c r="K7" s="176">
        <f>0.75+1+0.5</f>
        <v>2.25</v>
      </c>
      <c r="L7" s="174">
        <v>2</v>
      </c>
      <c r="M7" s="174">
        <f>0.25+1</f>
        <v>1.25</v>
      </c>
      <c r="N7" s="180">
        <f>0.1+0.7+4</f>
        <v>4.8</v>
      </c>
      <c r="P7" s="226" t="s">
        <v>486</v>
      </c>
    </row>
    <row r="8" spans="3:16" ht="18.95">
      <c r="C8" s="173" t="s">
        <v>487</v>
      </c>
      <c r="D8" s="173">
        <f t="shared" ref="D8:D17" si="4">K8</f>
        <v>2.4</v>
      </c>
      <c r="E8" s="173">
        <f t="shared" ref="E8:E17" si="5">L8</f>
        <v>3</v>
      </c>
      <c r="F8" s="173">
        <f t="shared" si="0"/>
        <v>2.2999999999999998</v>
      </c>
      <c r="G8" s="173">
        <f t="shared" si="1"/>
        <v>7.2</v>
      </c>
      <c r="H8" s="173">
        <f t="shared" si="2"/>
        <v>4.6999999999999993</v>
      </c>
      <c r="I8" s="173">
        <f t="shared" si="3"/>
        <v>10.199999999999999</v>
      </c>
      <c r="J8" s="178" t="s">
        <v>485</v>
      </c>
      <c r="K8" s="176">
        <f>0.5+0.9+1</f>
        <v>2.4</v>
      </c>
      <c r="L8" s="174">
        <v>3</v>
      </c>
      <c r="M8" s="174">
        <f>0.5+0.8+1</f>
        <v>2.2999999999999998</v>
      </c>
      <c r="N8" s="180">
        <f>0.6+0.6+6</f>
        <v>7.2</v>
      </c>
      <c r="P8" s="227" t="s">
        <v>488</v>
      </c>
    </row>
    <row r="9" spans="3:16" ht="18.95">
      <c r="C9" s="173" t="s">
        <v>489</v>
      </c>
      <c r="D9" s="173">
        <f t="shared" si="4"/>
        <v>3</v>
      </c>
      <c r="E9" s="173">
        <v>2</v>
      </c>
      <c r="F9" s="173">
        <f t="shared" si="0"/>
        <v>0.75</v>
      </c>
      <c r="G9" s="173">
        <f>N9</f>
        <v>6.3</v>
      </c>
      <c r="H9" s="173">
        <f t="shared" si="2"/>
        <v>3.75</v>
      </c>
      <c r="I9" s="173">
        <f t="shared" si="3"/>
        <v>8.3000000000000007</v>
      </c>
      <c r="J9" s="178" t="s">
        <v>490</v>
      </c>
      <c r="K9" s="176">
        <v>3</v>
      </c>
      <c r="L9" s="174">
        <v>3</v>
      </c>
      <c r="M9" s="174">
        <f>0.25+0.25+0.25</f>
        <v>0.75</v>
      </c>
      <c r="N9" s="180">
        <v>6.3</v>
      </c>
      <c r="P9" s="227" t="s">
        <v>491</v>
      </c>
    </row>
    <row r="10" spans="3:16" ht="18.95">
      <c r="C10" s="173" t="s">
        <v>64</v>
      </c>
      <c r="D10" s="173">
        <f t="shared" si="4"/>
        <v>3</v>
      </c>
      <c r="E10" s="173">
        <f t="shared" si="5"/>
        <v>3</v>
      </c>
      <c r="F10" s="173">
        <f t="shared" si="0"/>
        <v>1.75</v>
      </c>
      <c r="G10" s="173">
        <f t="shared" si="1"/>
        <v>6</v>
      </c>
      <c r="H10" s="173">
        <f t="shared" si="2"/>
        <v>4.75</v>
      </c>
      <c r="I10" s="173">
        <f>E10+G10</f>
        <v>9</v>
      </c>
      <c r="J10" s="178" t="s">
        <v>492</v>
      </c>
      <c r="K10" s="176">
        <v>3</v>
      </c>
      <c r="L10" s="174">
        <v>3</v>
      </c>
      <c r="M10" s="174">
        <f>0.5+0.5+0.25+0.25+0.25</f>
        <v>1.75</v>
      </c>
      <c r="N10" s="180">
        <v>6</v>
      </c>
      <c r="P10" s="227" t="s">
        <v>491</v>
      </c>
    </row>
    <row r="11" spans="3:16" ht="18.95">
      <c r="C11" s="173" t="s">
        <v>57</v>
      </c>
      <c r="D11" s="173">
        <f t="shared" si="4"/>
        <v>6.5</v>
      </c>
      <c r="E11" s="173">
        <f t="shared" si="5"/>
        <v>5</v>
      </c>
      <c r="F11" s="173">
        <f t="shared" si="0"/>
        <v>3.5</v>
      </c>
      <c r="G11" s="173">
        <f>N11</f>
        <v>6.2</v>
      </c>
      <c r="H11" s="173">
        <f t="shared" si="2"/>
        <v>10</v>
      </c>
      <c r="I11" s="173">
        <f t="shared" si="3"/>
        <v>11.2</v>
      </c>
      <c r="J11" s="178" t="s">
        <v>493</v>
      </c>
      <c r="K11" s="176">
        <v>6.5</v>
      </c>
      <c r="L11" s="174">
        <v>5</v>
      </c>
      <c r="M11" s="174">
        <f>1+1+0.5+0.5+0.5</f>
        <v>3.5</v>
      </c>
      <c r="N11" s="180">
        <v>6.2</v>
      </c>
      <c r="P11" s="227" t="s">
        <v>491</v>
      </c>
    </row>
    <row r="12" spans="3:16" ht="18.95">
      <c r="C12" s="173" t="s">
        <v>40</v>
      </c>
      <c r="D12" s="173">
        <f t="shared" si="4"/>
        <v>1</v>
      </c>
      <c r="E12" s="173">
        <f t="shared" si="5"/>
        <v>5</v>
      </c>
      <c r="F12" s="173">
        <f t="shared" si="0"/>
        <v>2.25</v>
      </c>
      <c r="G12" s="173">
        <f t="shared" si="1"/>
        <v>8</v>
      </c>
      <c r="H12" s="173">
        <f t="shared" si="2"/>
        <v>3.25</v>
      </c>
      <c r="I12" s="173">
        <f t="shared" si="3"/>
        <v>13</v>
      </c>
      <c r="J12" s="178" t="s">
        <v>492</v>
      </c>
      <c r="K12" s="176">
        <v>1</v>
      </c>
      <c r="L12" s="174">
        <v>5</v>
      </c>
      <c r="M12" s="174">
        <f>0.25+2</f>
        <v>2.25</v>
      </c>
      <c r="N12" s="180">
        <v>8</v>
      </c>
      <c r="P12" s="227" t="s">
        <v>494</v>
      </c>
    </row>
    <row r="13" spans="3:16" ht="18.95">
      <c r="C13" s="173" t="s">
        <v>45</v>
      </c>
      <c r="D13" s="173">
        <f t="shared" si="4"/>
        <v>1</v>
      </c>
      <c r="E13" s="173">
        <f t="shared" si="5"/>
        <v>4</v>
      </c>
      <c r="F13" s="173">
        <f t="shared" si="0"/>
        <v>2.25</v>
      </c>
      <c r="G13" s="173">
        <f t="shared" si="1"/>
        <v>4</v>
      </c>
      <c r="H13" s="173">
        <f t="shared" si="2"/>
        <v>3.25</v>
      </c>
      <c r="I13" s="173">
        <f t="shared" si="3"/>
        <v>8</v>
      </c>
      <c r="J13" s="178" t="s">
        <v>495</v>
      </c>
      <c r="K13" s="176">
        <f>0.5+0.5</f>
        <v>1</v>
      </c>
      <c r="L13" s="174">
        <v>4</v>
      </c>
      <c r="M13" s="174">
        <f>0.25+2</f>
        <v>2.25</v>
      </c>
      <c r="N13" s="180">
        <v>4</v>
      </c>
      <c r="P13" s="227" t="s">
        <v>496</v>
      </c>
    </row>
    <row r="14" spans="3:16" ht="18.95">
      <c r="C14" s="173" t="s">
        <v>48</v>
      </c>
      <c r="D14" s="173">
        <f t="shared" si="4"/>
        <v>5.5</v>
      </c>
      <c r="E14" s="173">
        <f t="shared" si="5"/>
        <v>2</v>
      </c>
      <c r="F14" s="173">
        <f t="shared" si="0"/>
        <v>1.25</v>
      </c>
      <c r="G14" s="173">
        <f t="shared" si="1"/>
        <v>15</v>
      </c>
      <c r="H14" s="173">
        <f t="shared" si="2"/>
        <v>6.75</v>
      </c>
      <c r="I14" s="173">
        <f t="shared" si="3"/>
        <v>17</v>
      </c>
      <c r="J14" s="178" t="s">
        <v>497</v>
      </c>
      <c r="K14" s="176">
        <f>1+0.5+1+1+1+1</f>
        <v>5.5</v>
      </c>
      <c r="L14" s="174">
        <v>2</v>
      </c>
      <c r="M14" s="174">
        <f>0.25+0.5+0.5</f>
        <v>1.25</v>
      </c>
      <c r="N14" s="180">
        <f>0.5+0.5+14</f>
        <v>15</v>
      </c>
      <c r="P14" s="227" t="s">
        <v>498</v>
      </c>
    </row>
    <row r="15" spans="3:16" ht="18.95">
      <c r="C15" s="173" t="s">
        <v>209</v>
      </c>
      <c r="D15" s="173">
        <f t="shared" si="4"/>
        <v>2.5</v>
      </c>
      <c r="E15" s="173">
        <f t="shared" si="5"/>
        <v>2</v>
      </c>
      <c r="F15" s="173">
        <f t="shared" si="0"/>
        <v>2.75</v>
      </c>
      <c r="G15" s="173">
        <f t="shared" si="1"/>
        <v>8</v>
      </c>
      <c r="H15" s="173">
        <f t="shared" si="2"/>
        <v>5.25</v>
      </c>
      <c r="I15" s="173">
        <f t="shared" si="3"/>
        <v>10</v>
      </c>
      <c r="J15" s="178" t="s">
        <v>493</v>
      </c>
      <c r="K15" s="176">
        <f>0.5+1+1</f>
        <v>2.5</v>
      </c>
      <c r="L15" s="174">
        <f>1+1</f>
        <v>2</v>
      </c>
      <c r="M15" s="174">
        <f>0.25+1+0.5+1</f>
        <v>2.75</v>
      </c>
      <c r="N15" s="180">
        <v>8</v>
      </c>
      <c r="P15" s="227" t="s">
        <v>499</v>
      </c>
    </row>
    <row r="16" spans="3:16" ht="18.95">
      <c r="C16" s="173" t="s">
        <v>61</v>
      </c>
      <c r="D16" s="173">
        <f t="shared" si="4"/>
        <v>0.85</v>
      </c>
      <c r="E16" s="173">
        <f t="shared" si="5"/>
        <v>0</v>
      </c>
      <c r="F16" s="173">
        <f t="shared" si="0"/>
        <v>0.45</v>
      </c>
      <c r="G16" s="173">
        <f t="shared" si="1"/>
        <v>2</v>
      </c>
      <c r="H16" s="173">
        <f t="shared" si="2"/>
        <v>1.3</v>
      </c>
      <c r="I16" s="173">
        <f t="shared" si="3"/>
        <v>2</v>
      </c>
      <c r="J16" s="178" t="s">
        <v>492</v>
      </c>
      <c r="K16" s="176">
        <f>0.25+0.1+0.5</f>
        <v>0.85</v>
      </c>
      <c r="L16" s="174">
        <v>0</v>
      </c>
      <c r="M16" s="174">
        <f>0.25+0.2+0</f>
        <v>0.45</v>
      </c>
      <c r="N16" s="180">
        <f>0.9+0.4+0.4+0.3</f>
        <v>2</v>
      </c>
      <c r="P16" s="227" t="s">
        <v>488</v>
      </c>
    </row>
    <row r="17" spans="3:16" ht="18.95">
      <c r="C17" s="173" t="s">
        <v>81</v>
      </c>
      <c r="D17" s="173">
        <f t="shared" si="4"/>
        <v>2</v>
      </c>
      <c r="E17" s="173">
        <f t="shared" si="5"/>
        <v>3</v>
      </c>
      <c r="F17" s="173">
        <f t="shared" si="0"/>
        <v>0.5</v>
      </c>
      <c r="G17" s="173">
        <f t="shared" si="1"/>
        <v>0.5</v>
      </c>
      <c r="H17" s="173">
        <f t="shared" si="2"/>
        <v>2.5</v>
      </c>
      <c r="I17" s="173">
        <f t="shared" si="3"/>
        <v>3.5</v>
      </c>
      <c r="J17" s="178" t="s">
        <v>492</v>
      </c>
      <c r="K17" s="176">
        <f>0.5+0.5+1</f>
        <v>2</v>
      </c>
      <c r="L17" s="174">
        <v>3</v>
      </c>
      <c r="M17" s="174">
        <v>0.5</v>
      </c>
      <c r="N17" s="180">
        <v>0.5</v>
      </c>
      <c r="P17" s="227" t="s">
        <v>500</v>
      </c>
    </row>
    <row r="18" spans="3:16" ht="18.95">
      <c r="C18" s="173" t="s">
        <v>306</v>
      </c>
      <c r="D18" s="173">
        <v>1</v>
      </c>
      <c r="E18" s="173">
        <v>0</v>
      </c>
      <c r="F18" s="173">
        <v>0</v>
      </c>
      <c r="G18" s="173">
        <v>0</v>
      </c>
      <c r="H18" s="173">
        <v>1</v>
      </c>
      <c r="I18" s="173">
        <v>0</v>
      </c>
      <c r="J18" s="178"/>
      <c r="K18" s="237"/>
      <c r="L18" s="237"/>
      <c r="M18" s="237"/>
      <c r="N18" s="237"/>
      <c r="P18" s="238"/>
    </row>
    <row r="19" spans="3:16" ht="18.95">
      <c r="C19" s="182" t="s">
        <v>501</v>
      </c>
      <c r="D19" s="182">
        <f>SUM(D7:D18)</f>
        <v>30</v>
      </c>
      <c r="E19" s="182">
        <f>SUM(E7:E18)</f>
        <v>32</v>
      </c>
      <c r="F19" s="182">
        <f>SUM(F7:F18)</f>
        <v>19</v>
      </c>
      <c r="G19" s="182">
        <f>SUM(G7:G18)</f>
        <v>68</v>
      </c>
      <c r="H19" s="236">
        <f>SUM(H7:H18)</f>
        <v>49</v>
      </c>
      <c r="I19" s="236">
        <f>SUM(I7:I18)</f>
        <v>100</v>
      </c>
      <c r="J19" s="182"/>
    </row>
    <row r="20" spans="3:16" ht="26.1">
      <c r="C20" s="319" t="s">
        <v>502</v>
      </c>
      <c r="D20" s="319"/>
      <c r="E20" s="319"/>
      <c r="F20" s="319"/>
      <c r="G20" s="319"/>
      <c r="H20" s="319"/>
      <c r="I20" s="319"/>
      <c r="J20" s="319"/>
    </row>
    <row r="21" spans="3:16" ht="18.95">
      <c r="C21" s="331" t="s">
        <v>27</v>
      </c>
      <c r="D21" s="323" t="s">
        <v>480</v>
      </c>
      <c r="E21" s="323"/>
      <c r="F21" s="323" t="s">
        <v>468</v>
      </c>
      <c r="G21" s="323"/>
      <c r="H21" s="323" t="s">
        <v>8</v>
      </c>
      <c r="I21" s="323"/>
      <c r="J21" s="333" t="s">
        <v>503</v>
      </c>
    </row>
    <row r="22" spans="3:16" ht="18.95">
      <c r="C22" s="332"/>
      <c r="D22" s="181" t="s">
        <v>483</v>
      </c>
      <c r="E22" s="181" t="s">
        <v>7</v>
      </c>
      <c r="F22" s="181" t="s">
        <v>484</v>
      </c>
      <c r="G22" s="181" t="s">
        <v>7</v>
      </c>
      <c r="H22" s="235" t="s">
        <v>483</v>
      </c>
      <c r="I22" s="235" t="s">
        <v>7</v>
      </c>
      <c r="J22" s="334"/>
    </row>
    <row r="23" spans="3:16" ht="18.75">
      <c r="C23" s="173" t="s">
        <v>504</v>
      </c>
      <c r="D23" s="173">
        <v>30</v>
      </c>
      <c r="E23" s="173">
        <v>32</v>
      </c>
      <c r="F23" s="173">
        <v>19</v>
      </c>
      <c r="G23" s="173">
        <v>68</v>
      </c>
      <c r="H23" s="173">
        <v>49</v>
      </c>
      <c r="I23" s="173">
        <v>100</v>
      </c>
      <c r="J23" s="239"/>
    </row>
    <row r="24" spans="3:16" ht="18.75">
      <c r="C24" s="173" t="s">
        <v>505</v>
      </c>
      <c r="D24" s="173">
        <v>0</v>
      </c>
      <c r="E24" s="173">
        <v>0</v>
      </c>
      <c r="F24" s="173">
        <v>0</v>
      </c>
      <c r="G24" s="173">
        <v>0</v>
      </c>
      <c r="H24" s="173">
        <v>4</v>
      </c>
      <c r="I24" s="173">
        <v>4</v>
      </c>
      <c r="J24" s="240" t="s">
        <v>506</v>
      </c>
    </row>
    <row r="25" spans="3:16" ht="18.75">
      <c r="C25" s="173" t="s">
        <v>507</v>
      </c>
      <c r="D25" s="183">
        <v>0</v>
      </c>
      <c r="E25" s="183">
        <v>0</v>
      </c>
      <c r="F25" s="183">
        <v>0</v>
      </c>
      <c r="G25" s="183">
        <v>0</v>
      </c>
      <c r="H25" s="173">
        <v>2</v>
      </c>
      <c r="I25" s="173">
        <v>1</v>
      </c>
      <c r="J25" s="240" t="s">
        <v>506</v>
      </c>
    </row>
    <row r="26" spans="3:16" ht="18.75">
      <c r="C26" s="173" t="s">
        <v>291</v>
      </c>
      <c r="D26" s="183">
        <v>0</v>
      </c>
      <c r="E26" s="183">
        <v>0</v>
      </c>
      <c r="F26" s="183">
        <v>0</v>
      </c>
      <c r="G26" s="183">
        <v>0</v>
      </c>
      <c r="H26" s="173">
        <v>3</v>
      </c>
      <c r="I26" s="173">
        <v>1</v>
      </c>
      <c r="J26" s="240" t="s">
        <v>506</v>
      </c>
    </row>
    <row r="27" spans="3:16" ht="18.75">
      <c r="C27" s="173" t="s">
        <v>469</v>
      </c>
      <c r="D27" s="183">
        <v>0</v>
      </c>
      <c r="E27" s="183">
        <v>0</v>
      </c>
      <c r="F27" s="183">
        <v>1</v>
      </c>
      <c r="G27" s="183">
        <v>11</v>
      </c>
      <c r="H27" s="173">
        <f>D27+F27</f>
        <v>1</v>
      </c>
      <c r="I27" s="173">
        <f>E27+G27</f>
        <v>11</v>
      </c>
      <c r="J27" s="240" t="s">
        <v>506</v>
      </c>
    </row>
    <row r="28" spans="3:16" ht="18.75">
      <c r="C28" s="173" t="s">
        <v>508</v>
      </c>
      <c r="D28" s="183">
        <v>0</v>
      </c>
      <c r="E28" s="183">
        <v>0</v>
      </c>
      <c r="F28" s="183">
        <v>0</v>
      </c>
      <c r="G28" s="183">
        <v>0</v>
      </c>
      <c r="H28" s="173">
        <v>3</v>
      </c>
      <c r="I28" s="173">
        <v>1</v>
      </c>
      <c r="J28" s="240"/>
    </row>
    <row r="29" spans="3:16" ht="18.75">
      <c r="C29" s="173" t="s">
        <v>509</v>
      </c>
      <c r="D29" s="183">
        <v>0</v>
      </c>
      <c r="E29" s="183">
        <v>0</v>
      </c>
      <c r="F29" s="183">
        <v>0</v>
      </c>
      <c r="G29" s="183">
        <v>0</v>
      </c>
      <c r="H29" s="173">
        <v>3</v>
      </c>
      <c r="I29" s="173">
        <v>1</v>
      </c>
      <c r="J29" s="240"/>
    </row>
    <row r="30" spans="3:16" ht="18.75">
      <c r="C30" s="173" t="s">
        <v>510</v>
      </c>
      <c r="D30" s="183">
        <v>0</v>
      </c>
      <c r="E30" s="183">
        <v>0</v>
      </c>
      <c r="F30" s="183">
        <v>0</v>
      </c>
      <c r="G30" s="183">
        <v>0</v>
      </c>
      <c r="H30" s="173">
        <v>6</v>
      </c>
      <c r="I30" s="173">
        <v>0</v>
      </c>
      <c r="J30" s="240"/>
    </row>
    <row r="31" spans="3:16" ht="18.75">
      <c r="C31" s="173" t="s">
        <v>511</v>
      </c>
      <c r="D31" s="183">
        <v>0</v>
      </c>
      <c r="E31" s="183">
        <v>0</v>
      </c>
      <c r="F31" s="183">
        <v>0</v>
      </c>
      <c r="G31" s="183">
        <v>0</v>
      </c>
      <c r="H31" s="173">
        <v>4</v>
      </c>
      <c r="I31" s="173">
        <v>0</v>
      </c>
      <c r="J31" s="240" t="s">
        <v>506</v>
      </c>
    </row>
    <row r="32" spans="3:16" ht="18.95">
      <c r="C32" s="182" t="s">
        <v>512</v>
      </c>
      <c r="D32" s="182">
        <f>SUM(D23:D31)</f>
        <v>30</v>
      </c>
      <c r="E32" s="182">
        <f t="shared" ref="E32:I32" si="6">SUM(E23:E31)</f>
        <v>32</v>
      </c>
      <c r="F32" s="182">
        <f t="shared" si="6"/>
        <v>20</v>
      </c>
      <c r="G32" s="182">
        <f t="shared" si="6"/>
        <v>79</v>
      </c>
      <c r="H32" s="235">
        <f>SUM(H23:H31)</f>
        <v>75</v>
      </c>
      <c r="I32" s="235">
        <f t="shared" si="6"/>
        <v>119</v>
      </c>
      <c r="J32" s="184"/>
    </row>
    <row r="37" spans="17:27" ht="18.95">
      <c r="Q37" s="181" t="s">
        <v>483</v>
      </c>
      <c r="R37" s="211" t="s">
        <v>309</v>
      </c>
      <c r="S37" s="211" t="s">
        <v>513</v>
      </c>
      <c r="T37" s="211" t="s">
        <v>50</v>
      </c>
      <c r="U37" s="211" t="s">
        <v>40</v>
      </c>
      <c r="V37" s="211" t="s">
        <v>398</v>
      </c>
      <c r="W37" s="211" t="s">
        <v>57</v>
      </c>
      <c r="X37" s="211" t="s">
        <v>68</v>
      </c>
      <c r="Y37" s="211" t="s">
        <v>514</v>
      </c>
      <c r="Z37" s="211" t="s">
        <v>515</v>
      </c>
      <c r="AA37" s="211" t="s">
        <v>8</v>
      </c>
    </row>
    <row r="38" spans="17:27" ht="18.95">
      <c r="Q38" s="181" t="s">
        <v>325</v>
      </c>
      <c r="R38" s="210">
        <v>1</v>
      </c>
      <c r="S38" s="210"/>
      <c r="T38" s="210">
        <v>1</v>
      </c>
      <c r="U38" s="210"/>
      <c r="V38" s="210">
        <v>2</v>
      </c>
      <c r="W38" s="210">
        <v>2</v>
      </c>
      <c r="X38" s="210"/>
      <c r="Y38" s="210"/>
      <c r="Z38" s="210"/>
      <c r="AA38" s="228">
        <f>SUM(R38:Z38)</f>
        <v>6</v>
      </c>
    </row>
    <row r="39" spans="17:27" ht="18.95">
      <c r="Q39" s="181" t="s">
        <v>308</v>
      </c>
      <c r="R39" s="210">
        <v>1</v>
      </c>
      <c r="S39" s="210">
        <v>1</v>
      </c>
      <c r="T39" s="210">
        <v>1</v>
      </c>
      <c r="U39" s="210"/>
      <c r="V39" s="210">
        <v>2</v>
      </c>
      <c r="W39" s="210">
        <v>3</v>
      </c>
      <c r="X39" s="210"/>
      <c r="Y39" s="210"/>
      <c r="Z39" s="210"/>
      <c r="AA39" s="228">
        <f>SUM(R39:Z39)</f>
        <v>8</v>
      </c>
    </row>
    <row r="40" spans="17:27" ht="18.95">
      <c r="Q40" s="181" t="s">
        <v>468</v>
      </c>
      <c r="R40" s="210">
        <v>1</v>
      </c>
      <c r="S40" s="210">
        <v>2</v>
      </c>
      <c r="T40" s="210">
        <v>2</v>
      </c>
      <c r="U40" s="210">
        <v>2</v>
      </c>
      <c r="V40" s="210">
        <v>2</v>
      </c>
      <c r="W40" s="210">
        <v>1</v>
      </c>
      <c r="X40" s="210"/>
      <c r="Y40" s="210"/>
      <c r="Z40" s="210"/>
      <c r="AA40" s="228">
        <f>SUM(R40:Z40)</f>
        <v>10</v>
      </c>
    </row>
    <row r="41" spans="17:27">
      <c r="Q41" s="324" t="s">
        <v>516</v>
      </c>
      <c r="R41" s="210" t="s">
        <v>284</v>
      </c>
      <c r="S41" s="210" t="s">
        <v>282</v>
      </c>
      <c r="T41" s="210" t="s">
        <v>284</v>
      </c>
      <c r="U41" s="210" t="s">
        <v>282</v>
      </c>
      <c r="V41" s="210" t="s">
        <v>282</v>
      </c>
      <c r="W41" s="210"/>
      <c r="X41" s="210"/>
      <c r="Y41" s="210"/>
      <c r="Z41" s="210"/>
      <c r="AA41" s="228"/>
    </row>
    <row r="42" spans="17:27">
      <c r="Q42" s="325"/>
      <c r="R42" s="210" t="s">
        <v>517</v>
      </c>
      <c r="S42" s="210" t="s">
        <v>518</v>
      </c>
      <c r="T42" s="210" t="s">
        <v>519</v>
      </c>
      <c r="U42" s="210" t="s">
        <v>334</v>
      </c>
      <c r="V42" s="210" t="s">
        <v>517</v>
      </c>
      <c r="W42" s="210"/>
      <c r="X42" s="210"/>
      <c r="Y42" s="210"/>
      <c r="Z42" s="210"/>
      <c r="AA42" s="228"/>
    </row>
    <row r="56" spans="3:9">
      <c r="C56" t="s">
        <v>520</v>
      </c>
      <c r="D56">
        <v>38</v>
      </c>
    </row>
    <row r="57" spans="3:9">
      <c r="C57" t="s">
        <v>521</v>
      </c>
      <c r="D57">
        <v>79</v>
      </c>
    </row>
    <row r="58" spans="3:9">
      <c r="C58" t="s">
        <v>8</v>
      </c>
      <c r="D58">
        <v>118</v>
      </c>
    </row>
    <row r="63" spans="3:9" ht="21">
      <c r="C63" s="330" t="s">
        <v>522</v>
      </c>
      <c r="D63" s="330"/>
      <c r="E63" s="161"/>
      <c r="F63" s="161"/>
      <c r="G63" s="326" t="s">
        <v>523</v>
      </c>
      <c r="H63" s="326"/>
      <c r="I63" s="326"/>
    </row>
    <row r="64" spans="3:9" ht="21">
      <c r="C64" s="178" t="s">
        <v>325</v>
      </c>
      <c r="D64" s="178">
        <v>9</v>
      </c>
      <c r="E64" s="327">
        <f>SUM(D64:D66)</f>
        <v>30</v>
      </c>
      <c r="F64" s="161"/>
      <c r="G64" s="178" t="s">
        <v>325</v>
      </c>
      <c r="H64" s="178">
        <v>8</v>
      </c>
      <c r="I64" s="178"/>
    </row>
    <row r="65" spans="3:9" ht="21">
      <c r="C65" s="178" t="s">
        <v>308</v>
      </c>
      <c r="D65" s="178">
        <v>15</v>
      </c>
      <c r="E65" s="328"/>
      <c r="F65" s="161"/>
      <c r="G65" s="178" t="s">
        <v>308</v>
      </c>
      <c r="H65" s="178">
        <v>13</v>
      </c>
      <c r="I65" s="178"/>
    </row>
    <row r="66" spans="3:9" ht="21">
      <c r="C66" s="178" t="s">
        <v>524</v>
      </c>
      <c r="D66" s="178">
        <v>6</v>
      </c>
      <c r="E66" s="329"/>
      <c r="F66" s="161"/>
      <c r="G66" s="178" t="s">
        <v>525</v>
      </c>
      <c r="H66" s="178">
        <v>3</v>
      </c>
      <c r="I66" s="178"/>
    </row>
    <row r="67" spans="3:9" ht="21">
      <c r="C67" s="178" t="s">
        <v>468</v>
      </c>
      <c r="D67" s="178">
        <v>20</v>
      </c>
      <c r="E67" s="178"/>
      <c r="F67" s="161"/>
      <c r="G67" s="232" t="s">
        <v>8</v>
      </c>
      <c r="H67" s="232">
        <f>SUM(H64:H66)</f>
        <v>24</v>
      </c>
      <c r="I67" s="327">
        <f>SUM(H67,H68)</f>
        <v>30</v>
      </c>
    </row>
    <row r="68" spans="3:9" ht="21">
      <c r="C68" s="178"/>
      <c r="D68" s="178"/>
      <c r="E68" s="178"/>
      <c r="F68" s="161"/>
      <c r="G68" s="178" t="s">
        <v>516</v>
      </c>
      <c r="H68" s="178">
        <v>6</v>
      </c>
      <c r="I68" s="329"/>
    </row>
    <row r="69" spans="3:9" ht="21">
      <c r="C69" s="161"/>
      <c r="D69" s="161"/>
      <c r="E69" s="161"/>
      <c r="F69" s="161"/>
    </row>
    <row r="70" spans="3:9" ht="21">
      <c r="C70" s="161"/>
      <c r="D70" s="161"/>
      <c r="E70" s="161"/>
      <c r="F70" s="161"/>
    </row>
    <row r="71" spans="3:9" ht="21">
      <c r="C71" s="161"/>
      <c r="D71" s="161"/>
      <c r="E71" s="161"/>
      <c r="F71" s="161"/>
      <c r="G71" s="178" t="s">
        <v>468</v>
      </c>
      <c r="H71" s="178">
        <v>16</v>
      </c>
    </row>
    <row r="72" spans="3:9" ht="21">
      <c r="C72" s="161"/>
      <c r="D72" s="161"/>
      <c r="E72" s="161"/>
      <c r="F72" s="161"/>
      <c r="G72" s="178" t="s">
        <v>526</v>
      </c>
      <c r="H72" s="178">
        <v>3</v>
      </c>
    </row>
    <row r="73" spans="3:9" ht="21">
      <c r="C73" s="161"/>
      <c r="D73" s="161"/>
      <c r="E73" s="161"/>
      <c r="F73" s="161"/>
      <c r="G73" s="232" t="s">
        <v>8</v>
      </c>
      <c r="H73" s="232">
        <f>SUM(H71:H72)</f>
        <v>19</v>
      </c>
    </row>
  </sheetData>
  <mergeCells count="20">
    <mergeCell ref="C20:J20"/>
    <mergeCell ref="Q41:Q42"/>
    <mergeCell ref="G63:I63"/>
    <mergeCell ref="E64:E66"/>
    <mergeCell ref="I67:I68"/>
    <mergeCell ref="C63:D63"/>
    <mergeCell ref="C21:C22"/>
    <mergeCell ref="D21:E21"/>
    <mergeCell ref="F21:G21"/>
    <mergeCell ref="H21:I21"/>
    <mergeCell ref="J21:J22"/>
    <mergeCell ref="P5:P6"/>
    <mergeCell ref="C4:J4"/>
    <mergeCell ref="K5:L5"/>
    <mergeCell ref="M5:N5"/>
    <mergeCell ref="D5:E5"/>
    <mergeCell ref="H5:I5"/>
    <mergeCell ref="F5:G5"/>
    <mergeCell ref="C5:C6"/>
    <mergeCell ref="J5:J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5D1EC-F0E5-E54E-9D3A-FEC2A734DF97}">
  <sheetPr>
    <tabColor rgb="FF7030A0"/>
  </sheetPr>
  <dimension ref="B2:H10"/>
  <sheetViews>
    <sheetView workbookViewId="0"/>
  </sheetViews>
  <sheetFormatPr defaultColWidth="11.42578125" defaultRowHeight="15"/>
  <cols>
    <col min="2" max="2" width="20.140625" bestFit="1" customWidth="1"/>
    <col min="3" max="3" width="29.28515625" bestFit="1" customWidth="1"/>
    <col min="4" max="4" width="23.85546875" bestFit="1" customWidth="1"/>
    <col min="5" max="5" width="8.140625" bestFit="1" customWidth="1"/>
  </cols>
  <sheetData>
    <row r="2" spans="2:8" s="79" customFormat="1" ht="21">
      <c r="B2" s="77" t="s">
        <v>527</v>
      </c>
      <c r="C2" s="77" t="s">
        <v>114</v>
      </c>
      <c r="D2" s="77" t="s">
        <v>528</v>
      </c>
      <c r="E2" s="78" t="s">
        <v>137</v>
      </c>
      <c r="F2" s="85"/>
      <c r="G2" s="85"/>
      <c r="H2" s="85"/>
    </row>
    <row r="6" spans="2:8" ht="18.95">
      <c r="B6" s="102" t="s">
        <v>529</v>
      </c>
    </row>
    <row r="7" spans="2:8" ht="21">
      <c r="B7" s="52" t="s">
        <v>530</v>
      </c>
      <c r="C7" s="52" t="s">
        <v>7</v>
      </c>
      <c r="D7" s="52" t="s">
        <v>40</v>
      </c>
    </row>
    <row r="8" spans="2:8" ht="21">
      <c r="B8" s="52" t="s">
        <v>531</v>
      </c>
      <c r="C8" s="52" t="s">
        <v>7</v>
      </c>
      <c r="D8" s="95" t="s">
        <v>50</v>
      </c>
    </row>
    <row r="9" spans="2:8" ht="21">
      <c r="B9" s="99" t="s">
        <v>532</v>
      </c>
      <c r="C9" s="99" t="s">
        <v>7</v>
      </c>
      <c r="D9" s="99" t="s">
        <v>393</v>
      </c>
    </row>
    <row r="10" spans="2:8" ht="21">
      <c r="B10" s="52" t="s">
        <v>533</v>
      </c>
      <c r="C10" s="52" t="s">
        <v>7</v>
      </c>
      <c r="D10" s="52" t="s">
        <v>398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AA39C-232B-774D-9F2C-F76D6BB37107}">
  <dimension ref="A1:Z34"/>
  <sheetViews>
    <sheetView zoomScale="120" zoomScaleNormal="120" workbookViewId="0">
      <selection activeCell="C24" sqref="C24"/>
    </sheetView>
  </sheetViews>
  <sheetFormatPr defaultColWidth="11.42578125" defaultRowHeight="15"/>
  <cols>
    <col min="5" max="5" width="10" bestFit="1" customWidth="1"/>
    <col min="13" max="13" width="15.42578125" customWidth="1"/>
    <col min="14" max="14" width="35.140625" customWidth="1"/>
    <col min="21" max="21" width="23.85546875" customWidth="1"/>
    <col min="25" max="25" width="12.140625" bestFit="1" customWidth="1"/>
    <col min="26" max="26" width="18.7109375" customWidth="1"/>
  </cols>
  <sheetData>
    <row r="1" spans="1:26" ht="18.95">
      <c r="A1" s="181" t="s">
        <v>483</v>
      </c>
      <c r="B1" s="229" t="s">
        <v>309</v>
      </c>
      <c r="C1" s="229" t="s">
        <v>513</v>
      </c>
      <c r="D1" s="229" t="s">
        <v>50</v>
      </c>
      <c r="E1" s="229" t="s">
        <v>40</v>
      </c>
      <c r="F1" s="229" t="s">
        <v>398</v>
      </c>
      <c r="G1" s="229" t="s">
        <v>57</v>
      </c>
      <c r="H1" s="229" t="s">
        <v>68</v>
      </c>
      <c r="I1" s="229" t="s">
        <v>514</v>
      </c>
      <c r="J1" s="229" t="s">
        <v>515</v>
      </c>
      <c r="K1" s="229" t="s">
        <v>81</v>
      </c>
      <c r="L1" s="229" t="s">
        <v>534</v>
      </c>
      <c r="M1" s="229" t="s">
        <v>8</v>
      </c>
      <c r="N1" s="231"/>
      <c r="R1" t="s">
        <v>535</v>
      </c>
    </row>
    <row r="2" spans="1:26" ht="18.95">
      <c r="A2" s="181" t="s">
        <v>325</v>
      </c>
      <c r="B2" s="178">
        <v>1</v>
      </c>
      <c r="C2" s="178">
        <v>0</v>
      </c>
      <c r="D2" s="178">
        <v>1</v>
      </c>
      <c r="E2" s="178">
        <v>0</v>
      </c>
      <c r="F2" s="178">
        <v>1</v>
      </c>
      <c r="G2" s="178">
        <v>2</v>
      </c>
      <c r="H2" s="178">
        <v>2</v>
      </c>
      <c r="I2" s="178"/>
      <c r="J2" s="178">
        <v>2</v>
      </c>
      <c r="K2" s="178"/>
      <c r="L2" s="178">
        <v>0</v>
      </c>
      <c r="M2" s="178">
        <f>SUM(B2:J2)</f>
        <v>9</v>
      </c>
      <c r="N2" s="230"/>
    </row>
    <row r="3" spans="1:26" ht="18.95">
      <c r="A3" s="181" t="s">
        <v>308</v>
      </c>
      <c r="B3" s="178">
        <v>1</v>
      </c>
      <c r="C3" s="178">
        <v>1</v>
      </c>
      <c r="D3" s="178">
        <v>1</v>
      </c>
      <c r="E3" s="178">
        <v>0</v>
      </c>
      <c r="F3" s="178">
        <v>3</v>
      </c>
      <c r="G3" s="178">
        <v>0</v>
      </c>
      <c r="H3" s="178">
        <v>2</v>
      </c>
      <c r="I3" s="178"/>
      <c r="J3" s="178">
        <v>3</v>
      </c>
      <c r="K3" s="178">
        <v>1</v>
      </c>
      <c r="L3" s="178">
        <v>1</v>
      </c>
      <c r="M3" s="178">
        <f>SUM(B3:L3)</f>
        <v>13</v>
      </c>
      <c r="N3" s="230"/>
    </row>
    <row r="4" spans="1:26" ht="18.95">
      <c r="A4" s="181" t="s">
        <v>468</v>
      </c>
      <c r="B4" s="178">
        <v>1</v>
      </c>
      <c r="C4" s="178">
        <v>2</v>
      </c>
      <c r="D4" s="178">
        <v>2</v>
      </c>
      <c r="E4" s="178">
        <v>2</v>
      </c>
      <c r="F4" s="178">
        <v>2</v>
      </c>
      <c r="G4" s="178">
        <v>2</v>
      </c>
      <c r="H4" s="178">
        <v>3</v>
      </c>
      <c r="I4" s="178">
        <v>2</v>
      </c>
      <c r="J4" s="178"/>
      <c r="K4" s="178"/>
      <c r="L4" s="178"/>
      <c r="M4" s="178">
        <f>SUM(B4:L4)</f>
        <v>16</v>
      </c>
      <c r="N4" s="230"/>
    </row>
    <row r="5" spans="1:26">
      <c r="A5" t="s">
        <v>536</v>
      </c>
      <c r="B5" s="178"/>
      <c r="C5" s="178"/>
      <c r="D5" s="178"/>
      <c r="E5" s="178"/>
      <c r="F5" s="178" t="s">
        <v>537</v>
      </c>
      <c r="G5" s="178"/>
      <c r="H5" s="178"/>
      <c r="I5" s="178"/>
      <c r="J5" s="178" t="s">
        <v>538</v>
      </c>
      <c r="K5" s="178"/>
      <c r="L5" s="178" t="s">
        <v>539</v>
      </c>
      <c r="M5" s="178">
        <f>COUNTA(B5:L5)</f>
        <v>3</v>
      </c>
      <c r="N5" s="230"/>
    </row>
    <row r="6" spans="1:26" ht="21">
      <c r="A6" s="324" t="s">
        <v>516</v>
      </c>
      <c r="B6" s="178" t="s">
        <v>284</v>
      </c>
      <c r="C6" s="178" t="s">
        <v>282</v>
      </c>
      <c r="D6" s="178" t="s">
        <v>284</v>
      </c>
      <c r="E6" s="178" t="s">
        <v>282</v>
      </c>
      <c r="F6" s="178" t="s">
        <v>282</v>
      </c>
      <c r="G6" s="178" t="s">
        <v>540</v>
      </c>
      <c r="H6" s="178" t="s">
        <v>540</v>
      </c>
      <c r="I6" s="178"/>
      <c r="J6" s="178"/>
      <c r="K6" s="178"/>
      <c r="L6" s="178"/>
      <c r="M6" s="178">
        <v>3</v>
      </c>
      <c r="N6" s="230"/>
      <c r="U6" s="161"/>
      <c r="V6" s="161"/>
      <c r="W6" s="161"/>
      <c r="X6" s="161"/>
      <c r="Y6" s="161"/>
      <c r="Z6" s="161"/>
    </row>
    <row r="7" spans="1:26">
      <c r="A7" s="324"/>
      <c r="B7" s="178" t="s">
        <v>517</v>
      </c>
      <c r="C7" s="178" t="s">
        <v>518</v>
      </c>
      <c r="D7" s="178" t="s">
        <v>519</v>
      </c>
      <c r="E7" s="178" t="s">
        <v>334</v>
      </c>
      <c r="F7" s="178" t="s">
        <v>517</v>
      </c>
      <c r="G7" s="335" t="s">
        <v>541</v>
      </c>
      <c r="H7" s="335"/>
      <c r="I7" s="178"/>
      <c r="J7" s="178" t="s">
        <v>542</v>
      </c>
      <c r="K7" s="178"/>
      <c r="L7" s="178"/>
      <c r="M7" s="178">
        <v>6</v>
      </c>
      <c r="N7" s="230"/>
    </row>
    <row r="17" spans="9:26">
      <c r="I17" t="s">
        <v>520</v>
      </c>
      <c r="J17">
        <v>38</v>
      </c>
    </row>
    <row r="18" spans="9:26">
      <c r="I18" t="s">
        <v>521</v>
      </c>
      <c r="J18">
        <v>79</v>
      </c>
    </row>
    <row r="19" spans="9:26">
      <c r="I19" t="s">
        <v>8</v>
      </c>
      <c r="J19">
        <f>SUM(J17:J18)</f>
        <v>117</v>
      </c>
    </row>
    <row r="24" spans="9:26" ht="21">
      <c r="I24" s="330" t="s">
        <v>522</v>
      </c>
      <c r="J24" s="330"/>
      <c r="K24" s="161"/>
      <c r="L24" s="161"/>
      <c r="M24" s="326" t="s">
        <v>523</v>
      </c>
      <c r="N24" s="326"/>
      <c r="O24" s="326"/>
    </row>
    <row r="25" spans="9:26" ht="21">
      <c r="I25" s="178" t="s">
        <v>325</v>
      </c>
      <c r="J25" s="178">
        <v>9</v>
      </c>
      <c r="K25" s="327">
        <f>SUM(J25:J27)</f>
        <v>30</v>
      </c>
      <c r="L25" s="161"/>
      <c r="M25" s="178" t="s">
        <v>325</v>
      </c>
      <c r="N25" s="178">
        <v>8</v>
      </c>
      <c r="O25" s="178"/>
    </row>
    <row r="26" spans="9:26" ht="21">
      <c r="I26" s="178" t="s">
        <v>308</v>
      </c>
      <c r="J26" s="178">
        <v>15</v>
      </c>
      <c r="K26" s="328"/>
      <c r="L26" s="161"/>
      <c r="M26" s="178" t="s">
        <v>308</v>
      </c>
      <c r="N26" s="178">
        <v>13</v>
      </c>
      <c r="O26" s="178"/>
    </row>
    <row r="27" spans="9:26" ht="21">
      <c r="I27" s="178" t="s">
        <v>524</v>
      </c>
      <c r="J27" s="178">
        <v>6</v>
      </c>
      <c r="K27" s="329"/>
      <c r="L27" s="161"/>
      <c r="M27" s="178" t="s">
        <v>525</v>
      </c>
      <c r="N27" s="178">
        <v>3</v>
      </c>
      <c r="O27" s="178"/>
    </row>
    <row r="28" spans="9:26" ht="21">
      <c r="I28" s="178" t="s">
        <v>468</v>
      </c>
      <c r="J28" s="178">
        <v>20</v>
      </c>
      <c r="K28" s="178"/>
      <c r="L28" s="161"/>
      <c r="M28" s="232" t="s">
        <v>8</v>
      </c>
      <c r="N28" s="232">
        <f>SUM(N25:N27)</f>
        <v>24</v>
      </c>
      <c r="O28" s="327">
        <f>SUM(N28,N29)</f>
        <v>30</v>
      </c>
      <c r="Y28" s="161"/>
      <c r="Z28" s="161"/>
    </row>
    <row r="29" spans="9:26" ht="21">
      <c r="I29" s="178"/>
      <c r="J29" s="178"/>
      <c r="K29" s="178"/>
      <c r="L29" s="161"/>
      <c r="M29" s="178" t="s">
        <v>516</v>
      </c>
      <c r="N29" s="178">
        <v>6</v>
      </c>
      <c r="O29" s="329"/>
      <c r="Y29" s="161"/>
      <c r="Z29" s="161"/>
    </row>
    <row r="30" spans="9:26" ht="21">
      <c r="I30" s="161"/>
      <c r="J30" s="161"/>
      <c r="K30" s="161"/>
      <c r="L30" s="161"/>
    </row>
    <row r="31" spans="9:26" ht="21">
      <c r="I31" s="161"/>
      <c r="J31" s="161"/>
      <c r="K31" s="161"/>
      <c r="L31" s="161"/>
    </row>
    <row r="32" spans="9:26" ht="21">
      <c r="I32" s="161"/>
      <c r="J32" s="161"/>
      <c r="K32" s="161"/>
      <c r="L32" s="161"/>
      <c r="M32" s="178" t="s">
        <v>468</v>
      </c>
      <c r="N32" s="178">
        <v>16</v>
      </c>
    </row>
    <row r="33" spans="9:26" ht="21">
      <c r="I33" s="161"/>
      <c r="J33" s="161"/>
      <c r="K33" s="161"/>
      <c r="L33" s="161"/>
      <c r="M33" s="178" t="s">
        <v>526</v>
      </c>
      <c r="N33" s="178">
        <v>3</v>
      </c>
      <c r="Y33" s="161"/>
      <c r="Z33" s="161"/>
    </row>
    <row r="34" spans="9:26" ht="21">
      <c r="I34" s="161"/>
      <c r="J34" s="161"/>
      <c r="K34" s="161"/>
      <c r="L34" s="161"/>
      <c r="M34" s="232" t="s">
        <v>8</v>
      </c>
      <c r="N34" s="232">
        <f>SUM(N32:N33)</f>
        <v>19</v>
      </c>
    </row>
  </sheetData>
  <mergeCells count="6">
    <mergeCell ref="K25:K27"/>
    <mergeCell ref="O28:O29"/>
    <mergeCell ref="I24:J24"/>
    <mergeCell ref="M24:O24"/>
    <mergeCell ref="A6:A7"/>
    <mergeCell ref="G7:H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4948A-2707-4970-8F69-C1AB37EED7EB}">
  <dimension ref="A3:C39"/>
  <sheetViews>
    <sheetView workbookViewId="0">
      <selection activeCell="T40" sqref="T40"/>
    </sheetView>
  </sheetViews>
  <sheetFormatPr defaultColWidth="8.85546875" defaultRowHeight="15"/>
  <cols>
    <col min="1" max="1" width="18" bestFit="1" customWidth="1"/>
    <col min="2" max="2" width="13.42578125" bestFit="1" customWidth="1"/>
    <col min="3" max="3" width="10" bestFit="1" customWidth="1"/>
    <col min="4" max="4" width="13.42578125" bestFit="1" customWidth="1"/>
    <col min="5" max="5" width="10" bestFit="1" customWidth="1"/>
    <col min="6" max="6" width="6.28515625" bestFit="1" customWidth="1"/>
    <col min="7" max="7" width="8.140625" bestFit="1" customWidth="1"/>
    <col min="8" max="8" width="11.140625" bestFit="1" customWidth="1"/>
    <col min="9" max="9" width="10.7109375" bestFit="1" customWidth="1"/>
    <col min="10" max="10" width="4.42578125" bestFit="1" customWidth="1"/>
    <col min="11" max="11" width="7.42578125" bestFit="1" customWidth="1"/>
    <col min="12" max="12" width="5.42578125" bestFit="1" customWidth="1"/>
    <col min="13" max="13" width="13" bestFit="1" customWidth="1"/>
    <col min="14" max="14" width="3.140625" bestFit="1" customWidth="1"/>
    <col min="15" max="15" width="3.42578125" bestFit="1" customWidth="1"/>
    <col min="16" max="16" width="12" bestFit="1" customWidth="1"/>
    <col min="17" max="17" width="10.28515625" bestFit="1" customWidth="1"/>
    <col min="18" max="18" width="5.85546875" bestFit="1" customWidth="1"/>
    <col min="19" max="19" width="5" bestFit="1" customWidth="1"/>
    <col min="20" max="20" width="12.140625" bestFit="1" customWidth="1"/>
    <col min="21" max="21" width="7.42578125" bestFit="1" customWidth="1"/>
    <col min="22" max="22" width="11.7109375" bestFit="1" customWidth="1"/>
  </cols>
  <sheetData>
    <row r="3" spans="1:3">
      <c r="A3" s="145" t="s">
        <v>543</v>
      </c>
      <c r="B3" s="145" t="s">
        <v>2</v>
      </c>
    </row>
    <row r="4" spans="1:3">
      <c r="A4" s="145" t="s">
        <v>3</v>
      </c>
      <c r="B4" t="s">
        <v>11</v>
      </c>
      <c r="C4" t="s">
        <v>544</v>
      </c>
    </row>
    <row r="5" spans="1:3">
      <c r="A5" t="s">
        <v>81</v>
      </c>
      <c r="B5">
        <v>1</v>
      </c>
      <c r="C5">
        <v>1</v>
      </c>
    </row>
    <row r="6" spans="1:3">
      <c r="A6" t="s">
        <v>300</v>
      </c>
      <c r="B6">
        <v>1</v>
      </c>
      <c r="C6">
        <v>1</v>
      </c>
    </row>
    <row r="7" spans="1:3">
      <c r="A7" t="s">
        <v>365</v>
      </c>
      <c r="B7">
        <v>1</v>
      </c>
      <c r="C7">
        <v>1</v>
      </c>
    </row>
    <row r="8" spans="1:3">
      <c r="A8" t="s">
        <v>40</v>
      </c>
      <c r="B8">
        <v>1</v>
      </c>
      <c r="C8">
        <v>1</v>
      </c>
    </row>
    <row r="9" spans="1:3">
      <c r="A9" t="s">
        <v>435</v>
      </c>
      <c r="B9">
        <v>2</v>
      </c>
      <c r="C9">
        <v>2</v>
      </c>
    </row>
    <row r="10" spans="1:3">
      <c r="A10" t="s">
        <v>57</v>
      </c>
      <c r="B10">
        <v>3</v>
      </c>
      <c r="C10">
        <v>3</v>
      </c>
    </row>
    <row r="11" spans="1:3">
      <c r="A11" t="s">
        <v>398</v>
      </c>
      <c r="B11">
        <v>4</v>
      </c>
      <c r="C11">
        <v>4</v>
      </c>
    </row>
    <row r="12" spans="1:3">
      <c r="A12" t="s">
        <v>401</v>
      </c>
      <c r="B12">
        <v>1</v>
      </c>
      <c r="C12">
        <v>1</v>
      </c>
    </row>
    <row r="13" spans="1:3">
      <c r="A13" t="s">
        <v>50</v>
      </c>
      <c r="B13">
        <v>3</v>
      </c>
      <c r="C13">
        <v>3</v>
      </c>
    </row>
    <row r="14" spans="1:3">
      <c r="A14" t="s">
        <v>68</v>
      </c>
      <c r="B14">
        <v>3</v>
      </c>
      <c r="C14">
        <v>3</v>
      </c>
    </row>
    <row r="15" spans="1:3">
      <c r="A15" t="s">
        <v>309</v>
      </c>
      <c r="B15">
        <v>2</v>
      </c>
      <c r="C15">
        <v>2</v>
      </c>
    </row>
    <row r="16" spans="1:3">
      <c r="A16" t="s">
        <v>306</v>
      </c>
      <c r="B16">
        <v>2</v>
      </c>
      <c r="C16">
        <v>2</v>
      </c>
    </row>
    <row r="17" spans="1:3">
      <c r="A17" t="s">
        <v>297</v>
      </c>
      <c r="B17">
        <v>6</v>
      </c>
      <c r="C17">
        <v>6</v>
      </c>
    </row>
    <row r="18" spans="1:3">
      <c r="A18" t="s">
        <v>544</v>
      </c>
      <c r="B18">
        <v>30</v>
      </c>
      <c r="C18">
        <v>30</v>
      </c>
    </row>
    <row r="36" spans="1:3">
      <c r="A36" s="145" t="s">
        <v>543</v>
      </c>
      <c r="B36" s="145" t="s">
        <v>2</v>
      </c>
    </row>
    <row r="37" spans="1:3">
      <c r="A37" s="145" t="s">
        <v>27</v>
      </c>
      <c r="B37" t="s">
        <v>7</v>
      </c>
      <c r="C37" t="s">
        <v>544</v>
      </c>
    </row>
    <row r="38" spans="1:3">
      <c r="A38" t="s">
        <v>37</v>
      </c>
      <c r="B38">
        <v>10</v>
      </c>
      <c r="C38">
        <v>10</v>
      </c>
    </row>
    <row r="39" spans="1:3">
      <c r="A39" t="s">
        <v>544</v>
      </c>
      <c r="B39">
        <v>10</v>
      </c>
      <c r="C39">
        <v>10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647FA7A4C8E5E49A98E460E1FD98EA3" ma:contentTypeVersion="15" ma:contentTypeDescription="Create a new document." ma:contentTypeScope="" ma:versionID="d3ede1962a15f9c316ba4232a1838be2">
  <xsd:schema xmlns:xsd="http://www.w3.org/2001/XMLSchema" xmlns:xs="http://www.w3.org/2001/XMLSchema" xmlns:p="http://schemas.microsoft.com/office/2006/metadata/properties" xmlns:ns2="bf3e91fb-be29-4af7-97bf-ee90372843d5" xmlns:ns3="3ffdf28c-7479-495e-84ce-1df32b4778f2" targetNamespace="http://schemas.microsoft.com/office/2006/metadata/properties" ma:root="true" ma:fieldsID="138e3c9caa2e805a72be9da4e71237f0" ns2:_="" ns3:_="">
    <xsd:import namespace="bf3e91fb-be29-4af7-97bf-ee90372843d5"/>
    <xsd:import namespace="3ffdf28c-7479-495e-84ce-1df32b4778f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ObjectDetectorVersions" minOccurs="0"/>
                <xsd:element ref="ns2:dat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3e91fb-be29-4af7-97bf-ee90372843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date" ma:index="21" nillable="true" ma:displayName="date" ma:format="DateOnly" ma:internalName="date">
      <xsd:simpleType>
        <xsd:restriction base="dms:DateTime"/>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ffdf28c-7479-495e-84ce-1df32b4778f2"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date xmlns="bf3e91fb-be29-4af7-97bf-ee90372843d5" xsi:nil="true"/>
  </documentManagement>
</p:properties>
</file>

<file path=customXml/itemProps1.xml><?xml version="1.0" encoding="utf-8"?>
<ds:datastoreItem xmlns:ds="http://schemas.openxmlformats.org/officeDocument/2006/customXml" ds:itemID="{C6980856-D009-420B-A488-E112326A8B1C}"/>
</file>

<file path=customXml/itemProps2.xml><?xml version="1.0" encoding="utf-8"?>
<ds:datastoreItem xmlns:ds="http://schemas.openxmlformats.org/officeDocument/2006/customXml" ds:itemID="{5D35EDC9-B823-44CD-8875-BFB55D6A81AF}"/>
</file>

<file path=customXml/itemProps3.xml><?xml version="1.0" encoding="utf-8"?>
<ds:datastoreItem xmlns:ds="http://schemas.openxmlformats.org/officeDocument/2006/customXml" ds:itemID="{5F02C3AC-268B-4DCF-9DE7-4590DB8962C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2025-12-07T18:12:47Z</dcterms:created>
  <dcterms:modified xsi:type="dcterms:W3CDTF">2026-02-26T17:37:24Z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0x0101009647FA7A4C8E5E49A98E460E1FD98EA3</vt:lpwstr>
  </property>
</Properties>
</file>