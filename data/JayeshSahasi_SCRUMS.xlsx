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sh.sahasi\Downloads\"/>
    </mc:Choice>
  </mc:AlternateContent>
  <xr:revisionPtr revIDLastSave="0" documentId="8_{A343C0D7-5706-4FCF-9FE6-70A0D358287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eam Reorg" sheetId="8" r:id="rId1"/>
    <sheet name="Jayesh-LLM-Context Prompt" sheetId="20" r:id="rId2"/>
    <sheet name="Teams Hierachy" sheetId="17" r:id="rId3"/>
    <sheet name="Teams List" sheetId="16" r:id="rId4"/>
    <sheet name="Sheet3" sheetId="14" r:id="rId5"/>
    <sheet name="dont-use" sheetId="13" r:id="rId6"/>
    <sheet name="Sheet1" sheetId="12" r:id="rId7"/>
    <sheet name="Staff List" sheetId="2" r:id="rId8"/>
    <sheet name="Contractor - Staff List" sheetId="3" r:id="rId9"/>
    <sheet name="Team" sheetId="1" r:id="rId10"/>
    <sheet name="SF-NC Team" sheetId="10" r:id="rId11"/>
    <sheet name="Sheet2" sheetId="11" r:id="rId12"/>
    <sheet name="JIRA Users obsolete" sheetId="6" r:id="rId13"/>
    <sheet name="Resource - Vendor List" sheetId="5" r:id="rId14"/>
    <sheet name="Resource - Vendor List Dec 21" sheetId="9" r:id="rId15"/>
    <sheet name="IsshBhag" sheetId="15" r:id="rId16"/>
  </sheets>
  <externalReferences>
    <externalReference r:id="rId17"/>
  </externalReferences>
  <definedNames>
    <definedName name="_xlnm._FilterDatabase" localSheetId="7" hidden="1">'Staff List'!$A$1:$I$34</definedName>
    <definedName name="_xlnm._FilterDatabase" localSheetId="0" hidden="1">'Team Reorg'!$A$12:$T$12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2" i="16" l="1"/>
  <c r="S52" i="16"/>
  <c r="R52" i="16"/>
  <c r="Q52" i="16"/>
  <c r="O52" i="16"/>
  <c r="N52" i="16"/>
  <c r="M52" i="16"/>
  <c r="L52" i="16"/>
  <c r="K52" i="16"/>
  <c r="J52" i="16"/>
  <c r="I52" i="16"/>
  <c r="H52" i="16"/>
  <c r="G52" i="16"/>
  <c r="F52" i="16"/>
  <c r="D52" i="16"/>
  <c r="C52" i="16"/>
  <c r="B52" i="16"/>
  <c r="E51" i="16"/>
  <c r="U50" i="16"/>
  <c r="U49" i="16"/>
  <c r="P48" i="16"/>
  <c r="U48" i="16" s="1"/>
  <c r="P47" i="16"/>
  <c r="U46" i="16"/>
  <c r="U45" i="16"/>
  <c r="H11" i="14"/>
  <c r="H10" i="14"/>
  <c r="H9" i="14"/>
  <c r="B13" i="14"/>
  <c r="U53" i="13"/>
  <c r="Q53" i="13"/>
  <c r="P53" i="13"/>
  <c r="O53" i="13"/>
  <c r="N53" i="13"/>
  <c r="M53" i="13"/>
  <c r="K53" i="13"/>
  <c r="I53" i="13"/>
  <c r="E53" i="13"/>
  <c r="C53" i="13"/>
  <c r="B53" i="13"/>
  <c r="U52" i="13"/>
  <c r="U54" i="13"/>
  <c r="Q52" i="13"/>
  <c r="P52" i="13"/>
  <c r="O52" i="13"/>
  <c r="N52" i="13"/>
  <c r="M52" i="13"/>
  <c r="K52" i="13"/>
  <c r="I52" i="13"/>
  <c r="E52" i="13"/>
  <c r="C52" i="13"/>
  <c r="B52" i="13"/>
  <c r="S51" i="13"/>
  <c r="R51" i="13"/>
  <c r="Q51" i="13"/>
  <c r="P51" i="13"/>
  <c r="O51" i="13"/>
  <c r="N51" i="13"/>
  <c r="M51" i="13"/>
  <c r="L51" i="13"/>
  <c r="K51" i="13"/>
  <c r="I51" i="13"/>
  <c r="G51" i="13"/>
  <c r="F51" i="13"/>
  <c r="E51" i="13"/>
  <c r="C51" i="13"/>
  <c r="B51" i="13"/>
  <c r="T50" i="13"/>
  <c r="T54" i="13"/>
  <c r="S50" i="13"/>
  <c r="S54" i="13"/>
  <c r="R50" i="13"/>
  <c r="R54" i="13"/>
  <c r="Q50" i="13"/>
  <c r="Q54" i="13"/>
  <c r="P50" i="13"/>
  <c r="P54" i="13"/>
  <c r="O50" i="13"/>
  <c r="O54" i="13"/>
  <c r="N50" i="13"/>
  <c r="N54" i="13"/>
  <c r="M50" i="13"/>
  <c r="M54" i="13"/>
  <c r="L50" i="13"/>
  <c r="L54" i="13"/>
  <c r="K50" i="13"/>
  <c r="K54" i="13"/>
  <c r="I50" i="13"/>
  <c r="I54" i="13"/>
  <c r="G50" i="13"/>
  <c r="G54" i="13"/>
  <c r="F50" i="13"/>
  <c r="F54" i="13"/>
  <c r="E50" i="13"/>
  <c r="E54" i="13"/>
  <c r="C50" i="13"/>
  <c r="C54" i="13"/>
  <c r="B50" i="13"/>
  <c r="B54" i="13"/>
  <c r="J49" i="13"/>
  <c r="J48" i="13"/>
  <c r="J47" i="13"/>
  <c r="J46" i="13"/>
  <c r="J50" i="13"/>
  <c r="D5" i="12"/>
  <c r="E5" i="12"/>
  <c r="F5" i="12"/>
  <c r="C5" i="12"/>
  <c r="E2" i="12"/>
  <c r="D2" i="12"/>
  <c r="C2" i="12"/>
  <c r="F42" i="3"/>
  <c r="F38" i="3"/>
  <c r="F3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I55" i="1"/>
  <c r="K55" i="1"/>
  <c r="L55" i="1"/>
  <c r="M55" i="1"/>
  <c r="N55" i="1"/>
  <c r="B55" i="1"/>
  <c r="C55" i="1"/>
  <c r="D55" i="1"/>
  <c r="E55" i="1"/>
  <c r="F55" i="1"/>
  <c r="G55" i="1"/>
  <c r="H55" i="1"/>
  <c r="P52" i="16" l="1"/>
  <c r="U47" i="16"/>
  <c r="E52" i="16"/>
  <c r="U51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tc={C2B8C0F1-8583-4C3F-81E1-C549A21E3ACB}</author>
    <author>tc={38C3D8D5-3A7E-410D-836B-F8548659D153}</author>
  </authors>
  <commentList>
    <comment ref="Q6" authorId="0" shapeId="0" xr:uid="{C2B8C0F1-8583-4C3F-81E1-C549A21E3ACB}">
      <text>
        <t>[Threaded comment]
Your version of Excel allows you to read this threaded comment; however, any edits to it will get removed if the file is opened in a newer version of Excel. Learn more: https://go.microsoft.com/fwlink/?linkid=870924
Comment:
    @Jagjit Singh Is this accurate? Is Megha no longer with this team?</t>
      </text>
    </comment>
    <comment ref="T11" authorId="1" shapeId="0" xr:uid="{38C3D8D5-3A7E-410D-836B-F8548659D153}">
      <text>
        <t>[Threaded comment]
Your version of Excel allows you to read this threaded comment; however, any edits to it will get removed if the file is opened in a newer version of Excel. Learn more: https://go.microsoft.com/fwlink/?linkid=870924
Comment:
    @Jagjit Singh Is this accurate? Don't you have a contractor?
Reply:
    @Jayesh Sahasi: fixed and updated the new SM resource name. Thanks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tc={624E6310-3025-46CC-8121-DB8AA47662F6}</author>
    <author>tc={18A103F1-5FE8-4D78-A82E-37F96F32A3FF}</author>
  </authors>
  <commentList>
    <comment ref="R6" authorId="0" shapeId="0" xr:uid="{624E6310-3025-46CC-8121-DB8AA47662F6}">
      <text>
        <t>[Threaded comment]
Your version of Excel allows you to read this threaded comment; however, any edits to it will get removed if the file is opened in a newer version of Excel. Learn more: https://go.microsoft.com/fwlink/?linkid=870924
Comment:
    @Jagjit Singh Is this accurate? Is Megha no longer with this team?</t>
      </text>
    </comment>
    <comment ref="U11" authorId="1" shapeId="0" xr:uid="{18A103F1-5FE8-4D78-A82E-37F96F32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@Jagjit Singh Is this accurate? Don't you have a contractor?
Reply:
    @Jayesh Sahasi: fixed and updated the new SM resource name. Thanks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tc={60C0B582-485F-43BB-B6DD-69C483A804E0}</author>
    <author>Jagjit Singh</author>
  </authors>
  <commentList>
    <comment ref="I13" authorId="0" shapeId="0" xr:uid="{60C0B582-485F-43BB-B6DD-69C483A804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Andela
</t>
      </text>
    </comment>
    <comment ref="I31" authorId="1" shapeId="0" xr:uid="{B07A4195-5953-47ED-AB16-0A0D86352496}">
      <text>
        <r>
          <rPr>
            <sz val="10"/>
            <color rgb="FF000000"/>
            <rFont val="Arial"/>
            <family val="2"/>
          </rPr>
          <t xml:space="preserve">Jagjit Singh:
</t>
        </r>
      </text>
    </comment>
  </commentList>
</comments>
</file>

<file path=xl/sharedStrings.xml><?xml version="1.0" encoding="utf-8"?>
<sst xmlns="http://schemas.openxmlformats.org/spreadsheetml/2006/main" count="3903" uniqueCount="1606">
  <si>
    <t>Scrum Master</t>
  </si>
  <si>
    <t>Kashan</t>
  </si>
  <si>
    <t>Bhagyashree</t>
  </si>
  <si>
    <t>NA</t>
  </si>
  <si>
    <t>Ishwinder</t>
  </si>
  <si>
    <t>Marina</t>
  </si>
  <si>
    <t>Francisco Neto</t>
  </si>
  <si>
    <t>Jagjit/Swati*</t>
  </si>
  <si>
    <t>Oleg</t>
  </si>
  <si>
    <t>Angel Palomino</t>
  </si>
  <si>
    <t>Product Owner</t>
  </si>
  <si>
    <t>Jared *</t>
  </si>
  <si>
    <t>Cobin Dopkeen</t>
  </si>
  <si>
    <t>Jaimini</t>
  </si>
  <si>
    <t>Salma</t>
  </si>
  <si>
    <t>Jared</t>
  </si>
  <si>
    <t>Cobin</t>
  </si>
  <si>
    <t>Kamal*</t>
  </si>
  <si>
    <t>Michael*</t>
  </si>
  <si>
    <t>Kevin*</t>
  </si>
  <si>
    <t>Salma/Kevin *</t>
  </si>
  <si>
    <t>Mahesh</t>
  </si>
  <si>
    <t>Jayesh</t>
  </si>
  <si>
    <t>Dev Oversight</t>
  </si>
  <si>
    <t>Jaimini *</t>
  </si>
  <si>
    <t>Pratap</t>
  </si>
  <si>
    <t>Mayank</t>
  </si>
  <si>
    <t>Kamal/Jaimini*</t>
  </si>
  <si>
    <t>Kamal</t>
  </si>
  <si>
    <t>Kamal *</t>
  </si>
  <si>
    <t>Homer</t>
  </si>
  <si>
    <t>QA Oversight</t>
  </si>
  <si>
    <t>Shefali *</t>
  </si>
  <si>
    <t>Rumana/Jyothi*</t>
  </si>
  <si>
    <t>Shefali/Paul</t>
  </si>
  <si>
    <t>Jenny *</t>
  </si>
  <si>
    <t>Jenny</t>
  </si>
  <si>
    <t>Jenny*</t>
  </si>
  <si>
    <t>Rumana/Shefali*</t>
  </si>
  <si>
    <t>Rumana*</t>
  </si>
  <si>
    <t>Shefali</t>
  </si>
  <si>
    <t>Shefali / Rumana / Jenny</t>
  </si>
  <si>
    <t>Dev/QA Ratio</t>
  </si>
  <si>
    <t>4.25/7.10</t>
  </si>
  <si>
    <t>3.2/3.50</t>
  </si>
  <si>
    <t>7/5</t>
  </si>
  <si>
    <t>7/0</t>
  </si>
  <si>
    <t>1/3</t>
  </si>
  <si>
    <t>4.5/7.10</t>
  </si>
  <si>
    <t>0.40/4</t>
  </si>
  <si>
    <t>3.65/5</t>
  </si>
  <si>
    <t>3/0</t>
  </si>
  <si>
    <t>4.7/8.40</t>
  </si>
  <si>
    <t>2/0</t>
  </si>
  <si>
    <t>4.60/7.40</t>
  </si>
  <si>
    <t>6.65/8.40</t>
  </si>
  <si>
    <t>5.80/12.20</t>
  </si>
  <si>
    <t>4/0</t>
  </si>
  <si>
    <t>0/10</t>
  </si>
  <si>
    <t>5/4</t>
  </si>
  <si>
    <t>Analytics</t>
  </si>
  <si>
    <t>Integration</t>
  </si>
  <si>
    <t>Segmentation</t>
  </si>
  <si>
    <t>Video</t>
  </si>
  <si>
    <t>Cloud Engineering
(CE)</t>
  </si>
  <si>
    <t>Eng Tools</t>
  </si>
  <si>
    <t>EHub/Target (ORION)</t>
  </si>
  <si>
    <t>VC</t>
  </si>
  <si>
    <t>GoLive</t>
  </si>
  <si>
    <t>Engineering Support (COGS)</t>
  </si>
  <si>
    <t>Forums</t>
  </si>
  <si>
    <t>Appgen</t>
  </si>
  <si>
    <t>Console</t>
  </si>
  <si>
    <t>Elite Studio</t>
  </si>
  <si>
    <t>Elite Admin / WCC</t>
  </si>
  <si>
    <t>Salesforce</t>
  </si>
  <si>
    <t>Automation</t>
  </si>
  <si>
    <t>Engineering AI</t>
  </si>
  <si>
    <t>Technical Program Management (TPM)</t>
  </si>
  <si>
    <t>LEGEND</t>
  </si>
  <si>
    <t>Dev Lead</t>
  </si>
  <si>
    <t xml:space="preserve"> Jagjit Singh *</t>
  </si>
  <si>
    <t>Multiple Projects</t>
  </si>
  <si>
    <t>Angel</t>
  </si>
  <si>
    <t>Shishir</t>
  </si>
  <si>
    <t>Nataraja *</t>
  </si>
  <si>
    <t>Nataraja*</t>
  </si>
  <si>
    <t>Piyush*/Mayank/Cobin</t>
  </si>
  <si>
    <t>Swati (Appgen)</t>
  </si>
  <si>
    <t>Piyush*</t>
  </si>
  <si>
    <t>Piyush*/Shishir</t>
  </si>
  <si>
    <t xml:space="preserve">Mayank </t>
  </si>
  <si>
    <t>Homer Santos*</t>
  </si>
  <si>
    <t>Kashan Babar</t>
  </si>
  <si>
    <t>India</t>
  </si>
  <si>
    <t>Himanshu *</t>
  </si>
  <si>
    <t>Parag</t>
  </si>
  <si>
    <t>Ishwinder Walia</t>
  </si>
  <si>
    <t>Contractor</t>
  </si>
  <si>
    <t>QA Lead</t>
  </si>
  <si>
    <t>Carlos Montoya</t>
  </si>
  <si>
    <t>Bhagyashree More</t>
  </si>
  <si>
    <t>FE = Front-End</t>
  </si>
  <si>
    <t>Pavel (60%)</t>
  </si>
  <si>
    <t>Olga (50%) *</t>
  </si>
  <si>
    <t>Rumana</t>
  </si>
  <si>
    <t>Yan *</t>
  </si>
  <si>
    <t>Shefali/Rumana*</t>
  </si>
  <si>
    <t>Shefali*</t>
  </si>
  <si>
    <t>Jairo</t>
  </si>
  <si>
    <t>BE = Back-End</t>
  </si>
  <si>
    <t xml:space="preserve">Dev </t>
  </si>
  <si>
    <t>Dev</t>
  </si>
  <si>
    <t>Diaz</t>
  </si>
  <si>
    <t>Pedro Hernandez (100%)</t>
  </si>
  <si>
    <t>Parag (20%) * (Fremont)</t>
  </si>
  <si>
    <t>Dan(80%)*</t>
  </si>
  <si>
    <t>Chengyang Liu (CE)</t>
  </si>
  <si>
    <t>Ammar Khan</t>
  </si>
  <si>
    <t>Juan C (100%)</t>
  </si>
  <si>
    <t>Shuang Wu (FE) *(20%)</t>
  </si>
  <si>
    <t>Purna Sangem</t>
  </si>
  <si>
    <t>Diego (Client) (50%)</t>
  </si>
  <si>
    <t>Chandrakant (Appgen) 80%</t>
  </si>
  <si>
    <t>Juan (server) (70%)</t>
  </si>
  <si>
    <t>Shwetha (Server) (70%)</t>
  </si>
  <si>
    <t>Avi (Client) (65%)</t>
  </si>
  <si>
    <t>Raj K</t>
  </si>
  <si>
    <t>QA</t>
  </si>
  <si>
    <t>Alejandro (100%)</t>
  </si>
  <si>
    <t>Camilo (100%)</t>
  </si>
  <si>
    <t>Jose(80%)</t>
  </si>
  <si>
    <t>Abdullah Rubaid (CE)</t>
  </si>
  <si>
    <t>Juan B FE (40%)</t>
  </si>
  <si>
    <t>Mayur *(20%)</t>
  </si>
  <si>
    <t>Shuang (75%)</t>
  </si>
  <si>
    <t>Cesar R</t>
  </si>
  <si>
    <t>Nnouka(20%)</t>
  </si>
  <si>
    <t>Vivek (Appgen) 100%</t>
  </si>
  <si>
    <t>Amber (90%)</t>
  </si>
  <si>
    <t>Rajesh K(Server) (80%)*</t>
  </si>
  <si>
    <t>Rajesh Walter (server)</t>
  </si>
  <si>
    <t>James*</t>
  </si>
  <si>
    <t>Helly Tanna</t>
  </si>
  <si>
    <t>Mario (50%)</t>
  </si>
  <si>
    <t>Oscar  (100%)</t>
  </si>
  <si>
    <t>Tasso (80%)</t>
  </si>
  <si>
    <t>Praveen Gampala (Manager)</t>
  </si>
  <si>
    <t>Marina/Paul</t>
  </si>
  <si>
    <t>Jhon Nova (FE)100%</t>
  </si>
  <si>
    <t>Javier (FE) (100%)</t>
  </si>
  <si>
    <t>Denis Martin</t>
  </si>
  <si>
    <t>Rodrigo(10%)</t>
  </si>
  <si>
    <t>Santiago(Client) (100%)</t>
  </si>
  <si>
    <t>Jay(Client)(100%)</t>
  </si>
  <si>
    <t>Rodrigo (Client) (90%)</t>
  </si>
  <si>
    <t>Jana</t>
  </si>
  <si>
    <t>Manak Choyal</t>
  </si>
  <si>
    <t>Paul Zarzecki</t>
  </si>
  <si>
    <t>Juan Gomez (100%)</t>
  </si>
  <si>
    <t>Javier Vargas (100%)</t>
  </si>
  <si>
    <t>Jesus (80%)</t>
  </si>
  <si>
    <t xml:space="preserve">Lee Lopez (PPS) </t>
  </si>
  <si>
    <t>Pushpendra</t>
  </si>
  <si>
    <t>Mayur - (BE) 30% *</t>
  </si>
  <si>
    <t>Islam (BE) (100%)</t>
  </si>
  <si>
    <t>Shwetha(15%)</t>
  </si>
  <si>
    <t>Ajay(React)Client (90%)</t>
  </si>
  <si>
    <t>Kaleem (Client) (75%)*</t>
  </si>
  <si>
    <t>Luke (100%)</t>
  </si>
  <si>
    <t>Sumeet Patidar</t>
  </si>
  <si>
    <t>Rohit Jha</t>
  </si>
  <si>
    <t>Mateo (100%)</t>
  </si>
  <si>
    <t>Rajesh Patel (60%)</t>
  </si>
  <si>
    <t>Felipe (80%)</t>
  </si>
  <si>
    <t>Jean Cristancho (DevOps)</t>
  </si>
  <si>
    <t>Kanak</t>
  </si>
  <si>
    <t>Gregory Padron (BE) (100%)</t>
  </si>
  <si>
    <t>Jenny  *</t>
  </si>
  <si>
    <t>Venu (BE) (90%)</t>
  </si>
  <si>
    <t>Juan (Server) (30%)</t>
  </si>
  <si>
    <t>Nnouka(Client)(100%)</t>
  </si>
  <si>
    <t>Tejiri M (100%)</t>
  </si>
  <si>
    <t>Vaishali Jaiswal</t>
  </si>
  <si>
    <t>Prajjwal Saxena</t>
  </si>
  <si>
    <t>Alberto (40%)</t>
  </si>
  <si>
    <t>Alejo(80%)</t>
  </si>
  <si>
    <t>Marco Ruiz (Weblogic)</t>
  </si>
  <si>
    <t>Priya</t>
  </si>
  <si>
    <t>Jonathan Perez (100%)</t>
  </si>
  <si>
    <t>Shailja  *</t>
  </si>
  <si>
    <t>Jonathan(server)(5%)</t>
  </si>
  <si>
    <t>Pritish (Client) (75%)*</t>
  </si>
  <si>
    <t>Jonathan (Client) (100%)</t>
  </si>
  <si>
    <t>Shabna (Server) (100%)</t>
  </si>
  <si>
    <t>Chetan Kushwah</t>
  </si>
  <si>
    <t>Ramesh (100%)</t>
  </si>
  <si>
    <t>Abel (85%)</t>
  </si>
  <si>
    <t>Randall (Video) 95%</t>
  </si>
  <si>
    <t>Gopal Singh</t>
  </si>
  <si>
    <t>Sandeep (40%)</t>
  </si>
  <si>
    <t>Jenny (10%)</t>
  </si>
  <si>
    <t>Ajay  Pawar(15%)</t>
  </si>
  <si>
    <t>Jonathan (Server) (100%)</t>
  </si>
  <si>
    <t>Divya Kag</t>
  </si>
  <si>
    <t>Kanika (40%)</t>
  </si>
  <si>
    <t>Lucas (Video) 60%</t>
  </si>
  <si>
    <t>Nikhil(30%)</t>
  </si>
  <si>
    <t>Nikhila Aradhyula (80%)</t>
  </si>
  <si>
    <t>Jose(100%)(VIDSClient)</t>
  </si>
  <si>
    <t>Vimala 80%*</t>
  </si>
  <si>
    <t>Kumar Saurabh</t>
  </si>
  <si>
    <t>Chitra (50%)</t>
  </si>
  <si>
    <t>Alex (Video) 20 %</t>
  </si>
  <si>
    <t xml:space="preserve">QA </t>
  </si>
  <si>
    <t>Subhani(30%)</t>
  </si>
  <si>
    <t>Sandeep(10%)</t>
  </si>
  <si>
    <t>Jesus(100%)(VIDS Client)</t>
  </si>
  <si>
    <t>Alumelu 100%*</t>
  </si>
  <si>
    <t>Preeti(50%)</t>
  </si>
  <si>
    <t>Mohit Talera</t>
  </si>
  <si>
    <t>Lilia (70%)</t>
  </si>
  <si>
    <t>Shruti (100%)</t>
  </si>
  <si>
    <t>Cheng-Kai Huang</t>
  </si>
  <si>
    <t>Anurag(20%)</t>
  </si>
  <si>
    <t>Syamala (70%)</t>
  </si>
  <si>
    <t>Alejo(VIDSServer)(80%)</t>
  </si>
  <si>
    <t>Prakash M (60%)</t>
  </si>
  <si>
    <t>Helly (50%)</t>
  </si>
  <si>
    <t>Hari Prasad</t>
  </si>
  <si>
    <t>Ravi (100%)</t>
  </si>
  <si>
    <t>Olga (50%)</t>
  </si>
  <si>
    <t>Yan (60%)</t>
  </si>
  <si>
    <t>Anshul(100%)</t>
  </si>
  <si>
    <t>Dan(VIDSServer)(100%)</t>
  </si>
  <si>
    <t>Abhishek Tanwar (100%)</t>
  </si>
  <si>
    <t>Marina B (60%)*</t>
  </si>
  <si>
    <t>Aniruddh Dongariya (100%)</t>
  </si>
  <si>
    <t>Srijan Parihar</t>
  </si>
  <si>
    <t>Gurmeet (70%)</t>
  </si>
  <si>
    <t>Kushal (100%)</t>
  </si>
  <si>
    <t>Jyothi(50%)*</t>
  </si>
  <si>
    <t>Mohit (60%)</t>
  </si>
  <si>
    <t>Apurva Choudary (100%)</t>
  </si>
  <si>
    <t>Tasso(VIDSServer)(100%)</t>
  </si>
  <si>
    <t>Ajay Pal(100%)</t>
  </si>
  <si>
    <t>Paul Z (50%)</t>
  </si>
  <si>
    <t>Rishi Shrivastava (100%)</t>
  </si>
  <si>
    <t>Nikhil Bornare</t>
  </si>
  <si>
    <t>Tarun (100%)</t>
  </si>
  <si>
    <t>Surbhi(100%)</t>
  </si>
  <si>
    <t>Ajay Gupta (100%)</t>
  </si>
  <si>
    <t>Anurag Padiyar (50%)</t>
  </si>
  <si>
    <t>Manjeet Singh (20%)</t>
  </si>
  <si>
    <t>Fong X (60%)</t>
  </si>
  <si>
    <t>Prerna Sharma (100%)</t>
  </si>
  <si>
    <t>Mayank (100%)</t>
  </si>
  <si>
    <t>Sachin Patil(100%)</t>
  </si>
  <si>
    <t>Keshav Jaiswal (100%)</t>
  </si>
  <si>
    <t xml:space="preserve"> </t>
  </si>
  <si>
    <t>Megha Upadhayay (100%)</t>
  </si>
  <si>
    <t>Priyanka Jain (60%)</t>
  </si>
  <si>
    <t>Jyothi Dasari (70%)</t>
  </si>
  <si>
    <t>Roma (100%)</t>
  </si>
  <si>
    <t>Shreya (100%)</t>
  </si>
  <si>
    <t>Gargeya(100%)</t>
  </si>
  <si>
    <t>Yadav Parmar (80%)</t>
  </si>
  <si>
    <t>Rahul Yadav (80%)(Console)</t>
  </si>
  <si>
    <t>Saurabh Samediya (100%)</t>
  </si>
  <si>
    <t>Shubham Chandra (100%)</t>
  </si>
  <si>
    <t>Rohit Jha (50%)</t>
  </si>
  <si>
    <t>Harsh  (100%)</t>
  </si>
  <si>
    <t>Abhijeet Joshi(100%)</t>
  </si>
  <si>
    <t>Shailja (80%)</t>
  </si>
  <si>
    <t>Ashwajit(100%) (Console)</t>
  </si>
  <si>
    <t>Yashdeep Singh(100%)</t>
  </si>
  <si>
    <t>Nikhil Sharma (100%)</t>
  </si>
  <si>
    <t>Akshay Patidar(20%)</t>
  </si>
  <si>
    <t>Gourav (60%)</t>
  </si>
  <si>
    <t>Tushar Gaurawat(100%)</t>
  </si>
  <si>
    <t>Shubhi Bhadole (80%)</t>
  </si>
  <si>
    <t>Ajay Yadav (20%) elite admin</t>
  </si>
  <si>
    <t>Mohini Verma(20%)</t>
  </si>
  <si>
    <t>Akshay Mandloi (100%)</t>
  </si>
  <si>
    <t>Sanjeev Gupta (80%)</t>
  </si>
  <si>
    <t>Mahima (40%)</t>
  </si>
  <si>
    <t>Gourav (100%)</t>
  </si>
  <si>
    <t>Fong (60%)(ES)</t>
  </si>
  <si>
    <t>Rohan Mesram (100%)</t>
  </si>
  <si>
    <t>Shobhit Shrivastava (100%)</t>
  </si>
  <si>
    <t>Nikhil (70%)</t>
  </si>
  <si>
    <t>Sumit Verma (100%)(ES)</t>
  </si>
  <si>
    <t>Shubham Kumawat(60%)</t>
  </si>
  <si>
    <t>Ajay (80%)</t>
  </si>
  <si>
    <t>Subhani (70%)</t>
  </si>
  <si>
    <t>Nurlan (60%)(Console)</t>
  </si>
  <si>
    <t>Rahul Sharma (90%)</t>
  </si>
  <si>
    <t>Bhagwan Soni (100%)</t>
  </si>
  <si>
    <t>Jyothi (60%)</t>
  </si>
  <si>
    <t>Ashish Kaslikar(100%)</t>
  </si>
  <si>
    <t>Rishabh Joshi (100%)</t>
  </si>
  <si>
    <t>Tushar (80%)</t>
  </si>
  <si>
    <t>Pooja (100%)</t>
  </si>
  <si>
    <t>Team</t>
  </si>
  <si>
    <t>TPM Count</t>
  </si>
  <si>
    <t>Jayesh Count</t>
  </si>
  <si>
    <t>Surbhi (80%)</t>
  </si>
  <si>
    <t>Bhushan Mahire (50%)</t>
  </si>
  <si>
    <t>Total Dev FT</t>
  </si>
  <si>
    <t>Total Dev Contractors</t>
  </si>
  <si>
    <t>Total QA FT</t>
  </si>
  <si>
    <t>Total QA Contractors</t>
  </si>
  <si>
    <t>Prompt you can give the LLM</t>
  </si>
  <si>
    <r>
      <t xml:space="preserve">You are given an Excel workbook named </t>
    </r>
    <r>
      <rPr>
        <b/>
        <sz val="10"/>
        <color rgb="FF000000"/>
        <rFont val="Arial"/>
        <family val="2"/>
      </rPr>
      <t>“Scale Team Size.xlsx”</t>
    </r>
    <r>
      <rPr>
        <sz val="10"/>
        <color rgb="FF000000"/>
        <rFont val="Arial"/>
        <family val="2"/>
      </rPr>
      <t>.</t>
    </r>
  </si>
  <si>
    <r>
      <t xml:space="preserve">Your job is to read it and produce a </t>
    </r>
    <r>
      <rPr>
        <b/>
        <sz val="10"/>
        <color rgb="FF000000"/>
        <rFont val="Arial"/>
        <family val="2"/>
      </rPr>
      <t>single summary table of FTE capacity by scrum team and role</t>
    </r>
    <r>
      <rPr>
        <sz val="10"/>
        <color rgb="FF000000"/>
        <rFont val="Arial"/>
        <family val="2"/>
      </rPr>
      <t>.</t>
    </r>
  </si>
  <si>
    <t>1. File / sheet structure assumptions</t>
  </si>
  <si>
    <r>
      <t xml:space="preserve">Each </t>
    </r>
    <r>
      <rPr>
        <b/>
        <sz val="10"/>
        <color rgb="FF000000"/>
        <rFont val="Arial"/>
        <family val="2"/>
      </rPr>
      <t>scrum team</t>
    </r>
    <r>
      <rPr>
        <sz val="10"/>
        <color rgb="FF000000"/>
        <rFont val="Arial"/>
        <family val="2"/>
      </rPr>
      <t xml:space="preserve"> is represented as a </t>
    </r>
    <r>
      <rPr>
        <b/>
        <sz val="10"/>
        <color rgb="FF000000"/>
        <rFont val="Arial"/>
        <family val="2"/>
      </rPr>
      <t>column</t>
    </r>
    <r>
      <rPr>
        <sz val="10"/>
        <color rgb="FF000000"/>
        <rFont val="Arial"/>
        <family val="2"/>
      </rPr>
      <t xml:space="preserve"> in the main worksheet.</t>
    </r>
  </si>
  <si>
    <r>
      <t xml:space="preserve">The </t>
    </r>
    <r>
      <rPr>
        <b/>
        <sz val="10"/>
        <color rgb="FF000000"/>
        <rFont val="Arial"/>
        <family val="2"/>
      </rPr>
      <t>column header</t>
    </r>
    <r>
      <rPr>
        <sz val="10"/>
        <color rgb="FF000000"/>
        <rFont val="Arial"/>
        <family val="2"/>
      </rPr>
      <t xml:space="preserve"> (near the top) is the </t>
    </r>
    <r>
      <rPr>
        <b/>
        <sz val="10"/>
        <color rgb="FF000000"/>
        <rFont val="Arial"/>
        <family val="2"/>
      </rPr>
      <t>team name</t>
    </r>
    <r>
      <rPr>
        <sz val="10"/>
        <color rgb="FF000000"/>
        <rFont val="Arial"/>
        <family val="2"/>
      </rPr>
      <t xml:space="preserve"> (e.g., “Analytics”, “Integration”, “Video”, “Cloud Engineering (CE)”, etc.).</t>
    </r>
  </si>
  <si>
    <t>Within each team column, there are section headings and people:</t>
  </si>
  <si>
    <r>
      <t>A “</t>
    </r>
    <r>
      <rPr>
        <b/>
        <sz val="10"/>
        <color rgb="FF000000"/>
        <rFont val="Arial"/>
        <family val="2"/>
      </rPr>
      <t>Dev Lead</t>
    </r>
    <r>
      <rPr>
        <sz val="10"/>
        <color rgb="FF000000"/>
        <rFont val="Arial"/>
        <family val="2"/>
      </rPr>
      <t>” heading, followed by one or more rows with the names of dev leads.</t>
    </r>
  </si>
  <si>
    <r>
      <t>A “</t>
    </r>
    <r>
      <rPr>
        <b/>
        <sz val="10"/>
        <color rgb="FF000000"/>
        <rFont val="Arial"/>
        <family val="2"/>
      </rPr>
      <t>QA Lead</t>
    </r>
    <r>
      <rPr>
        <sz val="10"/>
        <color rgb="FF000000"/>
        <rFont val="Arial"/>
        <family val="2"/>
      </rPr>
      <t>” heading, followed by one or more rows with the names of QA leads.</t>
    </r>
  </si>
  <si>
    <r>
      <t>A “</t>
    </r>
    <r>
      <rPr>
        <b/>
        <sz val="10"/>
        <color rgb="FF000000"/>
        <rFont val="Arial"/>
        <family val="2"/>
      </rPr>
      <t>Dev</t>
    </r>
    <r>
      <rPr>
        <sz val="10"/>
        <color rgb="FF000000"/>
        <rFont val="Arial"/>
        <family val="2"/>
      </rPr>
      <t>” heading, followed by rows with developer names.</t>
    </r>
  </si>
  <si>
    <r>
      <t>A “</t>
    </r>
    <r>
      <rPr>
        <b/>
        <sz val="10"/>
        <color rgb="FF000000"/>
        <rFont val="Arial"/>
        <family val="2"/>
      </rPr>
      <t>QA</t>
    </r>
    <r>
      <rPr>
        <sz val="10"/>
        <color rgb="FF000000"/>
        <rFont val="Arial"/>
        <family val="2"/>
      </rPr>
      <t>” heading, followed by rows with QA names.</t>
    </r>
  </si>
  <si>
    <t>Each name row may also contain:</t>
  </si>
  <si>
    <r>
      <t xml:space="preserve">A </t>
    </r>
    <r>
      <rPr>
        <b/>
        <sz val="10"/>
        <color rgb="FF000000"/>
        <rFont val="Arial"/>
        <family val="2"/>
      </rPr>
      <t>percentage allocation</t>
    </r>
    <r>
      <rPr>
        <sz val="10"/>
        <color rgb="FF000000"/>
        <rFont val="Arial"/>
        <family val="2"/>
      </rPr>
      <t xml:space="preserve"> such as</t>
    </r>
  </si>
  <si>
    <t>,</t>
  </si>
  <si>
    <t>, etc.</t>
  </si>
  <si>
    <r>
      <t>Font color</t>
    </r>
    <r>
      <rPr>
        <sz val="10"/>
        <color rgb="FF000000"/>
        <rFont val="Arial"/>
        <family val="2"/>
      </rPr>
      <t>, which encodes employment type:</t>
    </r>
  </si>
  <si>
    <r>
      <t xml:space="preserve">For </t>
    </r>
    <r>
      <rPr>
        <b/>
        <sz val="10"/>
        <color rgb="FF000000"/>
        <rFont val="Arial"/>
        <family val="2"/>
      </rPr>
      <t>Dev</t>
    </r>
    <r>
      <rPr>
        <sz val="10"/>
        <color rgb="FF000000"/>
        <rFont val="Arial"/>
        <family val="2"/>
      </rPr>
      <t xml:space="preserve"> (Dev Lead + Dev):</t>
    </r>
  </si>
  <si>
    <r>
      <t>Black font</t>
    </r>
    <r>
      <rPr>
        <sz val="10"/>
        <color rgb="FF000000"/>
        <rFont val="Arial"/>
        <family val="2"/>
      </rPr>
      <t xml:space="preserve"> = Employee</t>
    </r>
  </si>
  <si>
    <r>
      <t>Red font</t>
    </r>
    <r>
      <rPr>
        <sz val="10"/>
        <color rgb="FF000000"/>
        <rFont val="Arial"/>
        <family val="2"/>
      </rPr>
      <t xml:space="preserve"> = Contractor</t>
    </r>
  </si>
  <si>
    <r>
      <t xml:space="preserve">For </t>
    </r>
    <r>
      <rPr>
        <b/>
        <sz val="10"/>
        <color rgb="FF000000"/>
        <rFont val="Arial"/>
        <family val="2"/>
      </rPr>
      <t>QA</t>
    </r>
    <r>
      <rPr>
        <sz val="10"/>
        <color rgb="FF000000"/>
        <rFont val="Arial"/>
        <family val="2"/>
      </rPr>
      <t xml:space="preserve"> (QA Lead + QA):</t>
    </r>
  </si>
  <si>
    <r>
      <t>Blue font</t>
    </r>
    <r>
      <rPr>
        <sz val="10"/>
        <color rgb="FF000000"/>
        <rFont val="Arial"/>
        <family val="2"/>
      </rPr>
      <t xml:space="preserve"> = Contractor</t>
    </r>
  </si>
  <si>
    <t>Ignore any built-in totals or summary rows that may already exist in the sheet.</t>
  </si>
  <si>
    <t>2. How to interpret each cell</t>
  </si>
  <si>
    <t>For each team column, scan from top to bottom and maintain a “current section”:</t>
  </si>
  <si>
    <r>
      <t xml:space="preserve">Whenever you see the text </t>
    </r>
    <r>
      <rPr>
        <b/>
        <sz val="10"/>
        <color rgb="FF000000"/>
        <rFont val="Arial"/>
        <family val="2"/>
      </rPr>
      <t>“Dev Lead”</t>
    </r>
    <r>
      <rPr>
        <sz val="10"/>
        <color rgb="FF000000"/>
        <rFont val="Arial"/>
        <family val="2"/>
      </rPr>
      <t xml:space="preserve"> in that column, set</t>
    </r>
  </si>
  <si>
    <t>section = "DevLead"</t>
  </si>
  <si>
    <t>.</t>
  </si>
  <si>
    <r>
      <t xml:space="preserve">Whenever you see </t>
    </r>
    <r>
      <rPr>
        <b/>
        <sz val="10"/>
        <color rgb="FF000000"/>
        <rFont val="Arial"/>
        <family val="2"/>
      </rPr>
      <t>“QA Lead”</t>
    </r>
    <r>
      <rPr>
        <sz val="10"/>
        <color rgb="FF000000"/>
        <rFont val="Arial"/>
        <family val="2"/>
      </rPr>
      <t>, set</t>
    </r>
  </si>
  <si>
    <t>section = "QALead"</t>
  </si>
  <si>
    <r>
      <t xml:space="preserve">Whenever you see </t>
    </r>
    <r>
      <rPr>
        <b/>
        <sz val="10"/>
        <color rgb="FF000000"/>
        <rFont val="Arial"/>
        <family val="2"/>
      </rPr>
      <t>“Dev”</t>
    </r>
    <r>
      <rPr>
        <sz val="10"/>
        <color rgb="FF000000"/>
        <rFont val="Arial"/>
        <family val="2"/>
      </rPr>
      <t>, set</t>
    </r>
  </si>
  <si>
    <t>section = "Dev"</t>
  </si>
  <si>
    <r>
      <t xml:space="preserve">Whenever you see </t>
    </r>
    <r>
      <rPr>
        <b/>
        <sz val="10"/>
        <color rgb="FF000000"/>
        <rFont val="Arial"/>
        <family val="2"/>
      </rPr>
      <t>“QA”</t>
    </r>
    <r>
      <rPr>
        <sz val="10"/>
        <color rgb="FF000000"/>
        <rFont val="Arial"/>
        <family val="2"/>
      </rPr>
      <t>, set</t>
    </r>
  </si>
  <si>
    <t>section = "QA"</t>
  </si>
  <si>
    <r>
      <t xml:space="preserve">Every non-empty cell </t>
    </r>
    <r>
      <rPr>
        <i/>
        <sz val="10"/>
        <color rgb="FF000000"/>
        <rFont val="Arial"/>
        <family val="2"/>
      </rPr>
      <t>below</t>
    </r>
    <r>
      <rPr>
        <sz val="10"/>
        <color rgb="FF000000"/>
        <rFont val="Arial"/>
        <family val="2"/>
      </rPr>
      <t xml:space="preserve"> one of those headings, until the next heading in that column, is a </t>
    </r>
    <r>
      <rPr>
        <b/>
        <sz val="10"/>
        <color rgb="FF000000"/>
        <rFont val="Arial"/>
        <family val="2"/>
      </rPr>
      <t>person row</t>
    </r>
    <r>
      <rPr>
        <sz val="10"/>
        <color rgb="FF000000"/>
        <rFont val="Arial"/>
        <family val="2"/>
      </rPr>
      <t xml:space="preserve"> belonging to that section.</t>
    </r>
  </si>
  <si>
    <t>For every person row in any team column:</t>
  </si>
  <si>
    <r>
      <t>Extract the person’s name</t>
    </r>
    <r>
      <rPr>
        <sz val="10"/>
        <color rgb="FF000000"/>
        <rFont val="Arial"/>
        <family val="2"/>
      </rPr>
      <t>:</t>
    </r>
  </si>
  <si>
    <t>Strip out any percentage text (like</t>
  </si>
  <si>
    <t>) and any asterisks or other non-name markers.</t>
  </si>
  <si>
    <t>Trim whitespace.</t>
  </si>
  <si>
    <t>If there are multiple names in one cell separated by “/” or “,”, split them into separate people sharing the same section and percentage rule.</t>
  </si>
  <si>
    <t>Determine their high-level role:</t>
  </si>
  <si>
    <t>If</t>
  </si>
  <si>
    <t>section</t>
  </si>
  <si>
    <r>
      <t xml:space="preserve">is </t>
    </r>
    <r>
      <rPr>
        <b/>
        <sz val="10"/>
        <color rgb="FF000000"/>
        <rFont val="Arial"/>
        <family val="2"/>
      </rPr>
      <t>DevLead</t>
    </r>
    <r>
      <rPr>
        <sz val="10"/>
        <color rgb="FF000000"/>
        <rFont val="Arial"/>
        <family val="2"/>
      </rPr>
      <t xml:space="preserve"> or </t>
    </r>
    <r>
      <rPr>
        <b/>
        <sz val="10"/>
        <color rgb="FF000000"/>
        <rFont val="Arial"/>
        <family val="2"/>
      </rPr>
      <t>Dev</t>
    </r>
    <r>
      <rPr>
        <sz val="10"/>
        <color rgb="FF000000"/>
        <rFont val="Arial"/>
        <family val="2"/>
      </rPr>
      <t xml:space="preserve"> → role category =</t>
    </r>
  </si>
  <si>
    <t>"Dev"</t>
  </si>
  <si>
    <r>
      <t xml:space="preserve">is </t>
    </r>
    <r>
      <rPr>
        <b/>
        <sz val="10"/>
        <color rgb="FF000000"/>
        <rFont val="Arial"/>
        <family val="2"/>
      </rPr>
      <t>QALead</t>
    </r>
    <r>
      <rPr>
        <sz val="10"/>
        <color rgb="FF000000"/>
        <rFont val="Arial"/>
        <family val="2"/>
      </rPr>
      <t xml:space="preserve"> or </t>
    </r>
    <r>
      <rPr>
        <b/>
        <sz val="10"/>
        <color rgb="FF000000"/>
        <rFont val="Arial"/>
        <family val="2"/>
      </rPr>
      <t>QA</t>
    </r>
    <r>
      <rPr>
        <sz val="10"/>
        <color rgb="FF000000"/>
        <rFont val="Arial"/>
        <family val="2"/>
      </rPr>
      <t xml:space="preserve"> → role category =</t>
    </r>
  </si>
  <si>
    <t>"QA"</t>
  </si>
  <si>
    <r>
      <t>Determine employment type from font color</t>
    </r>
    <r>
      <rPr>
        <sz val="10"/>
        <color rgb="FF000000"/>
        <rFont val="Arial"/>
        <family val="2"/>
      </rPr>
      <t>:</t>
    </r>
  </si>
  <si>
    <r>
      <t xml:space="preserve">You must inspect the font color of the </t>
    </r>
    <r>
      <rPr>
        <b/>
        <sz val="10"/>
        <color rgb="FF000000"/>
        <rFont val="Arial"/>
        <family val="2"/>
      </rPr>
      <t>name</t>
    </r>
    <r>
      <rPr>
        <sz val="10"/>
        <color rgb="FF000000"/>
        <rFont val="Arial"/>
        <family val="2"/>
      </rPr>
      <t xml:space="preserve"> text in that cell:</t>
    </r>
  </si>
  <si>
    <t>Role category =</t>
  </si>
  <si>
    <t>:</t>
  </si>
  <si>
    <t>Black font →</t>
  </si>
  <si>
    <t>"Employee"</t>
  </si>
  <si>
    <t>Red font →</t>
  </si>
  <si>
    <t>"Contractor"</t>
  </si>
  <si>
    <t>Blue font →</t>
  </si>
  <si>
    <r>
      <t>Extract raw percentage allocation (if present)</t>
    </r>
    <r>
      <rPr>
        <sz val="10"/>
        <color rgb="FF000000"/>
        <rFont val="Arial"/>
        <family val="2"/>
      </rPr>
      <t>:</t>
    </r>
  </si>
  <si>
    <t>Look for a pattern like</t>
  </si>
  <si>
    <t>NN%</t>
  </si>
  <si>
    <t>(e.g.,</t>
  </si>
  <si>
    <t>).</t>
  </si>
  <si>
    <t>If present, convert to a fraction of 1.0:</t>
  </si>
  <si>
    <t>→</t>
  </si>
  <si>
    <t>If no percentage is given for that person in that cell, mark this entry as “FTE unknown” for now.</t>
  </si>
  <si>
    <r>
      <t>Record a row in an intermediate data structure</t>
    </r>
    <r>
      <rPr>
        <sz val="10"/>
        <color rgb="FF000000"/>
        <rFont val="Arial"/>
        <family val="2"/>
      </rPr>
      <t xml:space="preserve"> with:</t>
    </r>
  </si>
  <si>
    <t>PersonName</t>
  </si>
  <si>
    <t>(normalized to a consistent form, e.g., lowercased and trimmed)</t>
  </si>
  <si>
    <t>TeamName</t>
  </si>
  <si>
    <t>RoleCategory</t>
  </si>
  <si>
    <t>∈ {</t>
  </si>
  <si>
    <t>}</t>
  </si>
  <si>
    <t>EmploymentType</t>
  </si>
  <si>
    <t>RawFTE</t>
  </si>
  <si>
    <t>∈ [0,1] or</t>
  </si>
  <si>
    <t>null</t>
  </si>
  <si>
    <t>if unknown</t>
  </si>
  <si>
    <t>3. Resolve each person’s FTE across teams (no double counting)</t>
  </si>
  <si>
    <t>Some people appear in multiple teams and/or multiple sections. You must ensure:</t>
  </si>
  <si>
    <t>For each distinct</t>
  </si>
  <si>
    <r>
      <t xml:space="preserve">, the </t>
    </r>
    <r>
      <rPr>
        <b/>
        <sz val="10"/>
        <color rgb="FF000000"/>
        <rFont val="Arial"/>
        <family val="2"/>
      </rPr>
      <t>sum of their FTE across all teams and roles does not exceed 1.0</t>
    </r>
    <r>
      <rPr>
        <sz val="10"/>
        <color rgb="FF000000"/>
        <rFont val="Arial"/>
        <family val="2"/>
      </rPr>
      <t>.</t>
    </r>
  </si>
  <si>
    <t>Do this in a separate pass:</t>
  </si>
  <si>
    <t>Group the intermediate rows by</t>
  </si>
  <si>
    <t>For each person:</t>
  </si>
  <si>
    <t>Let</t>
  </si>
  <si>
    <t>entries</t>
  </si>
  <si>
    <t>be all rows for that person.</t>
  </si>
  <si>
    <t>explicit_entries</t>
  </si>
  <si>
    <t>= entries with a non-null</t>
  </si>
  <si>
    <t>implicit_entries</t>
  </si>
  <si>
    <t>= entries where</t>
  </si>
  <si>
    <t>is null.</t>
  </si>
  <si>
    <t>Compute:</t>
  </si>
  <si>
    <t>explicit_sum = sum(RawFTE for explicit_entries)</t>
  </si>
  <si>
    <t>Apply rules:</t>
  </si>
  <si>
    <t>explicit_sum</t>
  </si>
  <si>
    <r>
      <t>&gt; 1.0</t>
    </r>
    <r>
      <rPr>
        <sz val="10"/>
        <color rgb="FF000000"/>
        <rFont val="Arial"/>
        <family val="2"/>
      </rPr>
      <t>:</t>
    </r>
  </si>
  <si>
    <t>Scale all explicit FTEs down proportionally so that they sum to 1.0:</t>
  </si>
  <si>
    <t>For each explicit entry:</t>
  </si>
  <si>
    <t>AdjustedFTE = RawFTE / explicit_sum</t>
  </si>
  <si>
    <t>Set all implicit entries to FTE = 0.0 (since the person is already fully allocated).</t>
  </si>
  <si>
    <r>
      <t>== 1.0</t>
    </r>
    <r>
      <rPr>
        <sz val="10"/>
        <color rgb="FF000000"/>
        <rFont val="Arial"/>
        <family val="2"/>
      </rPr>
      <t>:</t>
    </r>
  </si>
  <si>
    <t>Use those FTEs as-is for explicit entries.</t>
  </si>
  <si>
    <t>Set all implicit entries to FTE = 0.0.</t>
  </si>
  <si>
    <r>
      <t>&lt; 1.0</t>
    </r>
    <r>
      <rPr>
        <sz val="10"/>
        <color rgb="FF000000"/>
        <rFont val="Arial"/>
        <family val="2"/>
      </rPr>
      <t>:</t>
    </r>
  </si>
  <si>
    <t>remaining = 1.0 - explicit_sum</t>
  </si>
  <si>
    <t>If there are one or more implicit entries:</t>
  </si>
  <si>
    <t>Assign each implicit entry an equal share of</t>
  </si>
  <si>
    <t>remaining</t>
  </si>
  <si>
    <t>AdjustedFTE = remaining / number_of_implicit_entries</t>
  </si>
  <si>
    <t>If there are no implicit entries:</t>
  </si>
  <si>
    <r>
      <t xml:space="preserve">Leave the explicit FTEs as they are. The person’s total FTE may be less than 1.0; do </t>
    </r>
    <r>
      <rPr>
        <b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inflate it.</t>
    </r>
  </si>
  <si>
    <t>For each entry (explicit or implicit), define</t>
  </si>
  <si>
    <t>FinalFTE</t>
  </si>
  <si>
    <t>as:</t>
  </si>
  <si>
    <t>Scaled value from the rules above if explicit.</t>
  </si>
  <si>
    <t>Newly assigned equal share if implicit.</t>
  </si>
  <si>
    <t>Or 0.0 where appropriate.</t>
  </si>
  <si>
    <t>4. Aggregate by team and role</t>
  </si>
  <si>
    <t>Now aggregate</t>
  </si>
  <si>
    <t>values by team:</t>
  </si>
  <si>
    <t>For each</t>
  </si>
  <si>
    <t>, compute:</t>
  </si>
  <si>
    <t>DevEmpFTE</t>
  </si>
  <si>
    <t>= sum of</t>
  </si>
  <si>
    <t>where</t>
  </si>
  <si>
    <t>RoleCategory = "Dev"</t>
  </si>
  <si>
    <t>and</t>
  </si>
  <si>
    <t>EmploymentType = "Employee"</t>
  </si>
  <si>
    <t>DevContrFTE</t>
  </si>
  <si>
    <t>EmploymentType = "Contractor"</t>
  </si>
  <si>
    <t>QAEmpFTE</t>
  </si>
  <si>
    <t>RoleCategory = "QA"</t>
  </si>
  <si>
    <t>QAContrFTE</t>
  </si>
  <si>
    <t>Then derive:</t>
  </si>
  <si>
    <t>TotalDevFTE</t>
  </si>
  <si>
    <t>=</t>
  </si>
  <si>
    <t>DevEmpFTE + DevContrFTE</t>
  </si>
  <si>
    <t>TotalQAFTE</t>
  </si>
  <si>
    <t>QAEmpFTE + QAContrFTE</t>
  </si>
  <si>
    <t>TotalEmpFTE</t>
  </si>
  <si>
    <t>DevEmpFTE + QAEmpFTE</t>
  </si>
  <si>
    <t>TotalContrFTE</t>
  </si>
  <si>
    <t>DevContrFTE + QAContrFTE</t>
  </si>
  <si>
    <t>TotalFTE</t>
  </si>
  <si>
    <t>TotalEmpFTE + TotalContrFTE</t>
  </si>
  <si>
    <t>5. Construct the final table</t>
  </si>
  <si>
    <t>Produce a table with one row per team and these columns, in this order:</t>
  </si>
  <si>
    <t>Total Dev FTE</t>
  </si>
  <si>
    <t>Total QA FTE</t>
  </si>
  <si>
    <t>Dev (Emp) FTE</t>
  </si>
  <si>
    <t>Dev (Contr) FTE</t>
  </si>
  <si>
    <t>QA (Emp) FTE</t>
  </si>
  <si>
    <t>QA (Contr) FTE</t>
  </si>
  <si>
    <t>Total Emp FTE</t>
  </si>
  <si>
    <t>Total Contr FTE</t>
  </si>
  <si>
    <t>Total FTE</t>
  </si>
  <si>
    <t>Sort rows alphabetically by</t>
  </si>
  <si>
    <t>(or keep the original column order; either is fine, just be consistent).</t>
  </si>
  <si>
    <r>
      <t xml:space="preserve">At the bottom, add a </t>
    </r>
    <r>
      <rPr>
        <b/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row where each numeric column is the sum of that column over all teams.</t>
    </r>
  </si>
  <si>
    <t>6. Output format</t>
  </si>
  <si>
    <r>
      <t xml:space="preserve">Return the final result as a </t>
    </r>
    <r>
      <rPr>
        <b/>
        <sz val="10"/>
        <color rgb="FF000000"/>
        <rFont val="Arial"/>
        <family val="2"/>
      </rPr>
      <t>Markdown table</t>
    </r>
    <r>
      <rPr>
        <sz val="10"/>
        <color rgb="FF000000"/>
        <rFont val="Arial"/>
        <family val="2"/>
      </rPr>
      <t xml:space="preserve"> with the above columns.</t>
    </r>
  </si>
  <si>
    <r>
      <t xml:space="preserve">Round FTE values to </t>
    </r>
    <r>
      <rPr>
        <b/>
        <sz val="10"/>
        <color rgb="FF000000"/>
        <rFont val="Arial"/>
        <family val="2"/>
      </rPr>
      <t>one decimal place</t>
    </r>
    <r>
      <rPr>
        <sz val="10"/>
        <color rgb="FF000000"/>
        <rFont val="Arial"/>
        <family val="2"/>
      </rPr>
      <t>.</t>
    </r>
  </si>
  <si>
    <r>
      <t xml:space="preserve">Do </t>
    </r>
    <r>
      <rPr>
        <b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rely on any textual descriptions outside the Excel file.</t>
    </r>
  </si>
  <si>
    <r>
      <t xml:space="preserve">Do </t>
    </r>
    <r>
      <rPr>
        <b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use any pre-existing totals in the workbook; always recompute from raw person rows.</t>
    </r>
  </si>
  <si>
    <t>If something is ambiguous, follow the rules above rather than guessing a different scheme.</t>
  </si>
  <si>
    <t>VP</t>
  </si>
  <si>
    <t>Director</t>
  </si>
  <si>
    <t>Mgrs/Leads</t>
  </si>
  <si>
    <t>PO</t>
  </si>
  <si>
    <t>QA VP</t>
  </si>
  <si>
    <t>QA Director</t>
  </si>
  <si>
    <t>QA leads</t>
  </si>
  <si>
    <t>JJ</t>
  </si>
  <si>
    <t>Alberto</t>
  </si>
  <si>
    <t>Jared Chappin</t>
  </si>
  <si>
    <t>Oleg Massakovskyy</t>
  </si>
  <si>
    <t>Shefali Singh</t>
  </si>
  <si>
    <t>Pavel Preyomyshev</t>
  </si>
  <si>
    <t>Integrations</t>
  </si>
  <si>
    <t>Olga Grama</t>
  </si>
  <si>
    <t>Ehub</t>
  </si>
  <si>
    <t>Nataraja</t>
  </si>
  <si>
    <t>Juan Bernardez Pazo / Mayur Khadke</t>
  </si>
  <si>
    <t>Salma Bargach</t>
  </si>
  <si>
    <t>Jenny Li</t>
  </si>
  <si>
    <t>Yan Sarnovskiy</t>
  </si>
  <si>
    <t>Mayur Khadke</t>
  </si>
  <si>
    <t>Elite Admin</t>
  </si>
  <si>
    <t>Himanshu</t>
  </si>
  <si>
    <t>Salma Bargach /  Kevin Miller</t>
  </si>
  <si>
    <t>Preeti</t>
  </si>
  <si>
    <t>Piyush</t>
  </si>
  <si>
    <t>Kaleem Khan / Shwetha Nimmala</t>
  </si>
  <si>
    <t>Kevin Miller</t>
  </si>
  <si>
    <t>Pritish Kumar Dwibedi / Swati Shaw</t>
  </si>
  <si>
    <t>Michael Lin</t>
  </si>
  <si>
    <t>Rumana Ilyas</t>
  </si>
  <si>
    <t>Vimala Gandham</t>
  </si>
  <si>
    <t>Pritish Kumar Dwibedi / Kaleem Khan</t>
  </si>
  <si>
    <t>Shefali Singh/Rumana Ilyas</t>
  </si>
  <si>
    <t>Jyothi Mittapalli / Paul Zarzecki</t>
  </si>
  <si>
    <t>Go Live</t>
  </si>
  <si>
    <t>JJ/Kamal</t>
  </si>
  <si>
    <t>Venubabu Innamuri</t>
  </si>
  <si>
    <t>Felix Biju</t>
  </si>
  <si>
    <t>Nikhila Aradhyula</t>
  </si>
  <si>
    <t>App Gen</t>
  </si>
  <si>
    <t>Swati Shaw</t>
  </si>
  <si>
    <t>Vids</t>
  </si>
  <si>
    <t>Shishir/Cobin</t>
  </si>
  <si>
    <t>Cobin Dopkeen / Shishir</t>
  </si>
  <si>
    <t>Jyothi Mittapalli</t>
  </si>
  <si>
    <t>Jagjit</t>
  </si>
  <si>
    <t>Kevin</t>
  </si>
  <si>
    <t>1/0</t>
  </si>
  <si>
    <t>Elite APP 
Security</t>
  </si>
  <si>
    <t>Rajesh Walter</t>
  </si>
  <si>
    <t>Jairo Diaz</t>
  </si>
  <si>
    <t>Ben Kinard</t>
  </si>
  <si>
    <t>Diego (Client) (100%)</t>
  </si>
  <si>
    <t>Juan David(server) (90%)</t>
  </si>
  <si>
    <t>Rajesh W (server) (25%)</t>
  </si>
  <si>
    <t>Dev Directors</t>
  </si>
  <si>
    <t>Dev Mgrs/Leads</t>
  </si>
  <si>
    <t>Dev FT</t>
  </si>
  <si>
    <t>Dev Cntrct</t>
  </si>
  <si>
    <t>QA FT</t>
  </si>
  <si>
    <t>QA Cntrct</t>
  </si>
  <si>
    <t>Total</t>
  </si>
  <si>
    <t>KB/Ish</t>
  </si>
  <si>
    <t>Cloud</t>
  </si>
  <si>
    <t>Elite</t>
  </si>
  <si>
    <t xml:space="preserve">Product </t>
  </si>
  <si>
    <t>Jagjit/Swati</t>
  </si>
  <si>
    <t>Rajesh</t>
  </si>
  <si>
    <t>Paul</t>
  </si>
  <si>
    <t>Joshua H</t>
  </si>
  <si>
    <t>Scott/Jared</t>
  </si>
  <si>
    <t>David/Jared</t>
  </si>
  <si>
    <t>Michael</t>
  </si>
  <si>
    <t>David</t>
  </si>
  <si>
    <t>Ryan/Kate</t>
  </si>
  <si>
    <t>Scott</t>
  </si>
  <si>
    <t>Sean/Scott</t>
  </si>
  <si>
    <t>Jaimini/Brent</t>
  </si>
  <si>
    <t>Kamal/Jaimini</t>
  </si>
  <si>
    <t>Mahesh/Vikram</t>
  </si>
  <si>
    <t>Rumana/Shefali</t>
  </si>
  <si>
    <t>Jenny/Suchi</t>
  </si>
  <si>
    <t>7/9</t>
  </si>
  <si>
    <t>6/7</t>
  </si>
  <si>
    <t>2/2</t>
  </si>
  <si>
    <t>13/6</t>
  </si>
  <si>
    <t>5/0</t>
  </si>
  <si>
    <t>8/7</t>
  </si>
  <si>
    <t>8/11</t>
  </si>
  <si>
    <t>12/11</t>
  </si>
  <si>
    <t>13/9</t>
  </si>
  <si>
    <t>11/15</t>
  </si>
  <si>
    <t>3/4</t>
  </si>
  <si>
    <t>6.8/9</t>
  </si>
  <si>
    <t>4.8/9</t>
  </si>
  <si>
    <t>6.3/13</t>
  </si>
  <si>
    <t>12/0</t>
  </si>
  <si>
    <t>Encoding</t>
  </si>
  <si>
    <t>P10 Giants</t>
  </si>
  <si>
    <t>P10 Warriors</t>
  </si>
  <si>
    <t>Personalization(AIML)</t>
  </si>
  <si>
    <t>Technical Program Management</t>
  </si>
  <si>
    <t xml:space="preserve"> Jagjit Singh</t>
  </si>
  <si>
    <t xml:space="preserve">Brent </t>
  </si>
  <si>
    <t>Brent</t>
  </si>
  <si>
    <t>Piyush/Mayank/Cobin</t>
  </si>
  <si>
    <t>Piyush (Swati)</t>
  </si>
  <si>
    <t xml:space="preserve">Piyush </t>
  </si>
  <si>
    <t>Vikram (33%)</t>
  </si>
  <si>
    <t>Homer Santos</t>
  </si>
  <si>
    <t xml:space="preserve">Pratap </t>
  </si>
  <si>
    <t>Brian Streit</t>
  </si>
  <si>
    <t>* Manak Choyal</t>
  </si>
  <si>
    <t>Angel (33%)</t>
  </si>
  <si>
    <t>Andy Coles (FE)</t>
  </si>
  <si>
    <t>Nataraja (50%)</t>
  </si>
  <si>
    <t xml:space="preserve">Sumeet Patidar </t>
  </si>
  <si>
    <t>Norbert W</t>
  </si>
  <si>
    <t>Chandrakant (Appgen)</t>
  </si>
  <si>
    <t>Shefali/Rumana</t>
  </si>
  <si>
    <t>Alberto (50%)</t>
  </si>
  <si>
    <t>Satyadev</t>
  </si>
  <si>
    <t xml:space="preserve">Vaishali Jaiswal </t>
  </si>
  <si>
    <t>Pavel (50%)</t>
  </si>
  <si>
    <t>Paul Zarzecki (10%)</t>
  </si>
  <si>
    <t>Vivek (Appgen)</t>
  </si>
  <si>
    <t>Jenny (33%)</t>
  </si>
  <si>
    <t>Kimberly Smith</t>
  </si>
  <si>
    <t>Jonathan Arcila (BE)</t>
  </si>
  <si>
    <t>Pritish (FE)</t>
  </si>
  <si>
    <t>Gustavo (BE)</t>
  </si>
  <si>
    <t>Shwetha (BE)</t>
  </si>
  <si>
    <t>James</t>
  </si>
  <si>
    <t>Christian Nguyen (PPS)</t>
  </si>
  <si>
    <t>Nick Allen</t>
  </si>
  <si>
    <t>Parag Singhvi (60%)</t>
  </si>
  <si>
    <t>Alejandro Osorio</t>
  </si>
  <si>
    <t>Juan David (BE)</t>
  </si>
  <si>
    <t>Diego G (FE)</t>
  </si>
  <si>
    <t>Sadiq (BE)</t>
  </si>
  <si>
    <t>Rajesh K  (BE)</t>
  </si>
  <si>
    <t>Avi (Client)</t>
  </si>
  <si>
    <r>
      <rPr>
        <b/>
        <sz val="11"/>
        <color rgb="FF000000"/>
        <rFont val="Calibri"/>
        <family val="2"/>
      </rPr>
      <t xml:space="preserve">Juan B </t>
    </r>
    <r>
      <rPr>
        <b/>
        <sz val="11"/>
        <color rgb="FFFF0000"/>
        <rFont val="Calibri"/>
        <family val="2"/>
      </rPr>
      <t>(FE)</t>
    </r>
  </si>
  <si>
    <t>Suchi</t>
  </si>
  <si>
    <t>Megha Karolia</t>
  </si>
  <si>
    <t>Mario M (45%)</t>
  </si>
  <si>
    <t>Camilo (70%)</t>
  </si>
  <si>
    <t>Pedro Hernandez</t>
  </si>
  <si>
    <t>Dan Homerick (Vids)</t>
  </si>
  <si>
    <t>Ermyas (FE)</t>
  </si>
  <si>
    <t>Laake (BE)</t>
  </si>
  <si>
    <t>Rajesh W (BE)</t>
  </si>
  <si>
    <t>Luke</t>
  </si>
  <si>
    <r>
      <rPr>
        <sz val="11"/>
        <color rgb="FF000000"/>
        <rFont val="Calibri"/>
        <family val="2"/>
      </rPr>
      <t>Michael</t>
    </r>
    <r>
      <rPr>
        <sz val="11"/>
        <color rgb="FFFF0000"/>
        <rFont val="Calibri"/>
        <family val="2"/>
      </rPr>
      <t xml:space="preserve"> (FE)</t>
    </r>
  </si>
  <si>
    <t>Shuang Wu (FE)</t>
  </si>
  <si>
    <t>Saily Jain</t>
  </si>
  <si>
    <t>Alejandro Varon (50%)</t>
  </si>
  <si>
    <t>Ali R</t>
  </si>
  <si>
    <t xml:space="preserve">Alejandro C </t>
  </si>
  <si>
    <t>Jose Viscasillas (Vids)</t>
  </si>
  <si>
    <t>Juan David  (BE)</t>
  </si>
  <si>
    <t>Edwin L (FE)</t>
  </si>
  <si>
    <t>Kaleem (FE)</t>
  </si>
  <si>
    <t>Solijon (Client)</t>
  </si>
  <si>
    <t>Jhon Nova (FE)</t>
  </si>
  <si>
    <t>Renuka Atale (FE)</t>
  </si>
  <si>
    <t>Peter (FE)</t>
  </si>
  <si>
    <t>Marco Antonio (Weblogic)</t>
  </si>
  <si>
    <t>Piyush Gupta</t>
  </si>
  <si>
    <t>Jose Varon (100%)</t>
  </si>
  <si>
    <t>Javier Varges</t>
  </si>
  <si>
    <t>Chayan (80%)</t>
  </si>
  <si>
    <t>Jesus Diaz</t>
  </si>
  <si>
    <t>Avi (FE)</t>
  </si>
  <si>
    <t>Amber(BE)</t>
  </si>
  <si>
    <t>Santiago (FE)</t>
  </si>
  <si>
    <t>Jawynson S (FE)</t>
  </si>
  <si>
    <t>Andy (Client)</t>
  </si>
  <si>
    <t>Luciano (BE)</t>
  </si>
  <si>
    <t>Mayur 50% (BE)</t>
  </si>
  <si>
    <t>Javier (FE)</t>
  </si>
  <si>
    <t>Cesar Augusto N (DevOps)</t>
  </si>
  <si>
    <t>Srinivas (30%)</t>
  </si>
  <si>
    <t xml:space="preserve">Daniel </t>
  </si>
  <si>
    <t>Kanika (70%)</t>
  </si>
  <si>
    <t>Felipe Ferreira</t>
  </si>
  <si>
    <t>Godson (BE)</t>
  </si>
  <si>
    <t xml:space="preserve">Jean (FE) </t>
  </si>
  <si>
    <t>AJ C (FE)</t>
  </si>
  <si>
    <t>Rodrigo (Client)</t>
  </si>
  <si>
    <t>Victor Benedito (BE)</t>
  </si>
  <si>
    <t>Pedro Vicentin (BE)</t>
  </si>
  <si>
    <t>Venu (BE)</t>
  </si>
  <si>
    <t>Cheng-Kai</t>
  </si>
  <si>
    <t>Nnouka S (FE)</t>
  </si>
  <si>
    <t>Cheng Kai (Wowza)</t>
  </si>
  <si>
    <t>Ajay(FE)</t>
  </si>
  <si>
    <t>Jonathan Gill (FE)</t>
  </si>
  <si>
    <t>Jorge (Server)</t>
  </si>
  <si>
    <t>Mayur - 50% (BE)</t>
  </si>
  <si>
    <t>Islam Mohammed (BE)</t>
  </si>
  <si>
    <t>Lilia (80%)</t>
  </si>
  <si>
    <t>Abel Cruz</t>
  </si>
  <si>
    <t>Gene</t>
  </si>
  <si>
    <t>Randall (Video)</t>
  </si>
  <si>
    <t>Himanshu (Server)</t>
  </si>
  <si>
    <t>Neeraj</t>
  </si>
  <si>
    <t>Gurmeet Singh (70%)</t>
  </si>
  <si>
    <t>Jaya</t>
  </si>
  <si>
    <t>Jyothi</t>
  </si>
  <si>
    <t>Fong</t>
  </si>
  <si>
    <t>Santiago(Client)</t>
  </si>
  <si>
    <t>Vimala</t>
  </si>
  <si>
    <t>Jaime (Video)</t>
  </si>
  <si>
    <t>Shabna (Server)</t>
  </si>
  <si>
    <t>Yan (75%)</t>
  </si>
  <si>
    <t>Shailja</t>
  </si>
  <si>
    <t>Ravi (60%)</t>
  </si>
  <si>
    <t xml:space="preserve">Chitralekha D </t>
  </si>
  <si>
    <t>Abhijeet</t>
  </si>
  <si>
    <t>Sourabh S</t>
  </si>
  <si>
    <t>Alumelu</t>
  </si>
  <si>
    <t>Jhon (Video)</t>
  </si>
  <si>
    <t>Jonathan (Server)</t>
  </si>
  <si>
    <t>Mohit</t>
  </si>
  <si>
    <t>Sandeep</t>
  </si>
  <si>
    <t>Nikhila</t>
  </si>
  <si>
    <t>Shreya R (100%)</t>
  </si>
  <si>
    <t xml:space="preserve">Shruti Joshi </t>
  </si>
  <si>
    <t>Surbhi Porwal</t>
  </si>
  <si>
    <t>Rahul Yadav</t>
  </si>
  <si>
    <t>Manjeet Singh</t>
  </si>
  <si>
    <t>Alex (Video)</t>
  </si>
  <si>
    <t>Ajay Gupta</t>
  </si>
  <si>
    <t>Nikhil</t>
  </si>
  <si>
    <t>Sandeep Chaubey</t>
  </si>
  <si>
    <t>Ayushi (100%)</t>
  </si>
  <si>
    <t>Monica</t>
  </si>
  <si>
    <t>Sachin P</t>
  </si>
  <si>
    <t>Rohit Kamble</t>
  </si>
  <si>
    <t>Friedrich</t>
  </si>
  <si>
    <t>Priyanka Jain</t>
  </si>
  <si>
    <t>Neelima</t>
  </si>
  <si>
    <t>Keshav Jaiswal</t>
  </si>
  <si>
    <t>Manish</t>
  </si>
  <si>
    <t>Syamala</t>
  </si>
  <si>
    <t>Mayank (90%)</t>
  </si>
  <si>
    <t>Khushal</t>
  </si>
  <si>
    <t>Shubham P</t>
  </si>
  <si>
    <t>Ajay Yadav</t>
  </si>
  <si>
    <t>Nurlan</t>
  </si>
  <si>
    <t>Rohit Sadh</t>
  </si>
  <si>
    <t>Paul Z</t>
  </si>
  <si>
    <t>Yadav Parmar</t>
  </si>
  <si>
    <t>Subhani</t>
  </si>
  <si>
    <t>Megha Joshi</t>
  </si>
  <si>
    <t>Vivek (40%)</t>
  </si>
  <si>
    <t>Pooja T</t>
  </si>
  <si>
    <t>* Manjeet</t>
  </si>
  <si>
    <t>Saurabh Samediya</t>
  </si>
  <si>
    <t>Marina B</t>
  </si>
  <si>
    <t>Helly</t>
  </si>
  <si>
    <t>Shubhi Bhadole</t>
  </si>
  <si>
    <t>Ibaad</t>
  </si>
  <si>
    <t>Saloni</t>
  </si>
  <si>
    <t>Ankita</t>
  </si>
  <si>
    <t>Prakash M</t>
  </si>
  <si>
    <t>Aniket</t>
  </si>
  <si>
    <t>Jyothi Dasari</t>
  </si>
  <si>
    <t>Aniruddh Dongariya</t>
  </si>
  <si>
    <t>Gourav T</t>
  </si>
  <si>
    <t>Apurva Choudary</t>
  </si>
  <si>
    <t xml:space="preserve">                  </t>
  </si>
  <si>
    <t>Surbhi Raghuvanshi</t>
  </si>
  <si>
    <t>Abhishekh Shrivastav</t>
  </si>
  <si>
    <t>Shubham Chandra</t>
  </si>
  <si>
    <t>Rishi Shrivastava</t>
  </si>
  <si>
    <t>Jyoti Sharma</t>
  </si>
  <si>
    <t>Shivam Bisen</t>
  </si>
  <si>
    <t xml:space="preserve">Radhika Takalkar	</t>
  </si>
  <si>
    <t>Akshay Mandloi</t>
  </si>
  <si>
    <t>Prerna Sharma</t>
  </si>
  <si>
    <t>Rohan Mesram</t>
  </si>
  <si>
    <t>Naman Pingle</t>
  </si>
  <si>
    <t>Tushar Gaurawat</t>
  </si>
  <si>
    <t>Neeti Sharma</t>
  </si>
  <si>
    <t>priya Nikhar</t>
  </si>
  <si>
    <t>Rahul Sharma</t>
  </si>
  <si>
    <t>Avadhi Kanojia</t>
  </si>
  <si>
    <t>Rupendra Goswami</t>
  </si>
  <si>
    <t>Sanjeev Gupta</t>
  </si>
  <si>
    <t>Sanket Wankhede</t>
  </si>
  <si>
    <t>Shobhit Shrivastava</t>
  </si>
  <si>
    <t>Vaishnavi Somani</t>
  </si>
  <si>
    <t>Loaded (1.2x)</t>
  </si>
  <si>
    <t>Monthly</t>
  </si>
  <si>
    <t>Quarterly</t>
  </si>
  <si>
    <t>Michael Miller</t>
  </si>
  <si>
    <t>Q1</t>
  </si>
  <si>
    <t>Q2</t>
  </si>
  <si>
    <t>Q3</t>
  </si>
  <si>
    <t>Q4</t>
  </si>
  <si>
    <t>Contract budget</t>
  </si>
  <si>
    <t>Savings</t>
  </si>
  <si>
    <t>Payroll Name</t>
  </si>
  <si>
    <t>Job Title Description</t>
  </si>
  <si>
    <t>Reports To First Name</t>
  </si>
  <si>
    <t>Reports To Last Name</t>
  </si>
  <si>
    <t>Hire Date</t>
  </si>
  <si>
    <t>Rehire Date</t>
  </si>
  <si>
    <t>Home Department Code</t>
  </si>
  <si>
    <t>Home Department Description</t>
  </si>
  <si>
    <t>Correct Department</t>
  </si>
  <si>
    <t>Kheny, Mahesh</t>
  </si>
  <si>
    <t>Vice President Engineering</t>
  </si>
  <si>
    <t>Sahasi</t>
  </si>
  <si>
    <t>405</t>
  </si>
  <si>
    <t>Engineering Admin</t>
  </si>
  <si>
    <t>Santos, Homer</t>
  </si>
  <si>
    <t>Lead Engineer</t>
  </si>
  <si>
    <t>Kheny</t>
  </si>
  <si>
    <t>415</t>
  </si>
  <si>
    <t xml:space="preserve">SFDC </t>
  </si>
  <si>
    <t>Gomez, James</t>
  </si>
  <si>
    <t xml:space="preserve">Senior SalesForce Administrator </t>
  </si>
  <si>
    <t xml:space="preserve">Homer </t>
  </si>
  <si>
    <t>Santos</t>
  </si>
  <si>
    <t>Singh, Satyadev Kumar</t>
  </si>
  <si>
    <t>Senior Salesforce Engineer</t>
  </si>
  <si>
    <t xml:space="preserve">Kommera, Raj Kumar Reddy </t>
  </si>
  <si>
    <t xml:space="preserve">Senior Salesforce Developer </t>
  </si>
  <si>
    <t>Meda, Reethika</t>
  </si>
  <si>
    <t>Culmone, Melissa Nicole</t>
  </si>
  <si>
    <t>Salesforce Administrator</t>
  </si>
  <si>
    <t>Bernardez Pazo, Juan Jose</t>
  </si>
  <si>
    <t>Vikram</t>
  </si>
  <si>
    <t>Purushothaman</t>
  </si>
  <si>
    <t>Gateway Development</t>
  </si>
  <si>
    <t>wu, shuang</t>
  </si>
  <si>
    <t>Senior Software Engineer</t>
  </si>
  <si>
    <t>420</t>
  </si>
  <si>
    <t>Ghosh, Kamalaksha</t>
  </si>
  <si>
    <t>Webcasting Development</t>
  </si>
  <si>
    <t>Nimmala, Shwetha</t>
  </si>
  <si>
    <t>Punjak</t>
  </si>
  <si>
    <t>Wang, Shuanglin</t>
  </si>
  <si>
    <t>Principal Software Engineer</t>
  </si>
  <si>
    <t>Rathod, Vinay</t>
  </si>
  <si>
    <t>Punjak, Piyush</t>
  </si>
  <si>
    <t>Senior Engineering Manager</t>
  </si>
  <si>
    <t>Shaw, Swati</t>
  </si>
  <si>
    <t>Engineering Manager</t>
  </si>
  <si>
    <t>Khan, Kaleemullah</t>
  </si>
  <si>
    <t>Lead Front End Engineer</t>
  </si>
  <si>
    <t>Dwibedi, Pritish Kumar</t>
  </si>
  <si>
    <t>Senior Software Engineer, Front End</t>
  </si>
  <si>
    <t>Sirajudeen, Sadiq Ali</t>
  </si>
  <si>
    <t xml:space="preserve">Senior Back-End Engineer </t>
  </si>
  <si>
    <t>Wage, Luke</t>
  </si>
  <si>
    <t>Sunga, Jawynson</t>
  </si>
  <si>
    <t>Software Engineer, Front-End</t>
  </si>
  <si>
    <t>Wolpe, David</t>
  </si>
  <si>
    <t>Engineering Manager, Front-End</t>
  </si>
  <si>
    <t>Rajesh, Kumar</t>
  </si>
  <si>
    <t>Senior Software Engineer, Back End</t>
  </si>
  <si>
    <t>Gupta, Mayank</t>
  </si>
  <si>
    <t>Senior Engineering Manager, Front End</t>
  </si>
  <si>
    <t>Bagewadi, Chandrakant</t>
  </si>
  <si>
    <t>Software Engineer, Back-End</t>
  </si>
  <si>
    <t>Yeh, Wesley</t>
  </si>
  <si>
    <t>Homerick, Daniel</t>
  </si>
  <si>
    <t>Sr. Software Engineer, Audio/Video</t>
  </si>
  <si>
    <t>441</t>
  </si>
  <si>
    <t>Gopaluni, Subrahmanyam</t>
  </si>
  <si>
    <t>421</t>
  </si>
  <si>
    <t>Patel, Himanshu</t>
  </si>
  <si>
    <t>Cloutier, Anthony James Gerald</t>
  </si>
  <si>
    <t>Senior Front End Engineer</t>
  </si>
  <si>
    <t>Wolpe</t>
  </si>
  <si>
    <t>000421</t>
  </si>
  <si>
    <t>Davies, Gregory</t>
  </si>
  <si>
    <t>Subrahmanyam</t>
  </si>
  <si>
    <t>Gopaluni</t>
  </si>
  <si>
    <t>Pawar, Ajay</t>
  </si>
  <si>
    <t>Gupta</t>
  </si>
  <si>
    <t>Vohra, Abhimanyu</t>
  </si>
  <si>
    <t>Intern - Software Engineer</t>
  </si>
  <si>
    <t>Joshi</t>
  </si>
  <si>
    <t>Dopkeen, Cobin</t>
  </si>
  <si>
    <t>Engineering Manager, Audio/Video</t>
  </si>
  <si>
    <t>Pokharel</t>
  </si>
  <si>
    <t>Purushothaman, Vikram Anjaneya</t>
  </si>
  <si>
    <t>Senior Director Software Engineering</t>
  </si>
  <si>
    <t>422</t>
  </si>
  <si>
    <t>Virtual Development</t>
  </si>
  <si>
    <t>Perez Galiano, Alberto</t>
  </si>
  <si>
    <t>Prabhakara, Nataraja</t>
  </si>
  <si>
    <t>Atale, Renukalaxmi</t>
  </si>
  <si>
    <t>Li, Jenny</t>
  </si>
  <si>
    <t>Director, QA</t>
  </si>
  <si>
    <t>Gateway QA</t>
  </si>
  <si>
    <t>Singh, Shailja</t>
  </si>
  <si>
    <t>QA Engineer</t>
  </si>
  <si>
    <t>Li</t>
  </si>
  <si>
    <t>426</t>
  </si>
  <si>
    <t>Virtual QA</t>
  </si>
  <si>
    <t>Sarnovskiy, Yan</t>
  </si>
  <si>
    <t>Senior QA Engineer</t>
  </si>
  <si>
    <t>Gerring, Friedrich</t>
  </si>
  <si>
    <t>Elite QA</t>
  </si>
  <si>
    <t>Singh, Shefali</t>
  </si>
  <si>
    <t>Senior Director, QA</t>
  </si>
  <si>
    <t>Ilyas, Rumana</t>
  </si>
  <si>
    <t>Gandham, Vimala</t>
  </si>
  <si>
    <t>Lead QA Engineer</t>
  </si>
  <si>
    <t>Palacherla, Neelima</t>
  </si>
  <si>
    <t>QA Lead Engineer</t>
  </si>
  <si>
    <t>Zarzecki, Paul</t>
  </si>
  <si>
    <t>Senior Lead QA Engineer</t>
  </si>
  <si>
    <t>Xiong, Fong</t>
  </si>
  <si>
    <t>Belova, Marina</t>
  </si>
  <si>
    <t>Mittapalli, Jyothi</t>
  </si>
  <si>
    <t>Lead QA Engineer - Video infrastructure</t>
  </si>
  <si>
    <t>Shukurlu, Nurlan</t>
  </si>
  <si>
    <t>Tanna, Helly</t>
  </si>
  <si>
    <t>Tulei, Lilia</t>
  </si>
  <si>
    <t>Mara, Ryan</t>
  </si>
  <si>
    <t>Senior Director Product Management</t>
  </si>
  <si>
    <t>Gateway Product Management</t>
  </si>
  <si>
    <t>Volodko, Kate</t>
  </si>
  <si>
    <t>Senior Product Manager</t>
  </si>
  <si>
    <t>430</t>
  </si>
  <si>
    <t>Miller, Kevin</t>
  </si>
  <si>
    <t>Steve</t>
  </si>
  <si>
    <t>Sims</t>
  </si>
  <si>
    <t>Elite Product Management</t>
  </si>
  <si>
    <t>Lin, Michael</t>
  </si>
  <si>
    <t>Director Product Management</t>
  </si>
  <si>
    <t>Miller</t>
  </si>
  <si>
    <t>Cronshaw, Brian David</t>
  </si>
  <si>
    <t>Reddy, Suchitra</t>
  </si>
  <si>
    <t>Software QA Manager</t>
  </si>
  <si>
    <t>436</t>
  </si>
  <si>
    <t>Lighthouse QA</t>
  </si>
  <si>
    <t>Aradhyula, Nikhila</t>
  </si>
  <si>
    <t>Bhullar, Jagjit</t>
  </si>
  <si>
    <t>SCRUM Master</t>
  </si>
  <si>
    <t>Babar, Kashan</t>
  </si>
  <si>
    <t>Bhullar</t>
  </si>
  <si>
    <t>439</t>
  </si>
  <si>
    <t>Walia, Ishwinder</t>
  </si>
  <si>
    <t>Rojas, Brent</t>
  </si>
  <si>
    <t>Director Software Engineering</t>
  </si>
  <si>
    <t>Platform Development</t>
  </si>
  <si>
    <t>Joshi, Jaimini</t>
  </si>
  <si>
    <t>VP Engineering, Platform</t>
  </si>
  <si>
    <t>Tang, Kwok Leung</t>
  </si>
  <si>
    <t>Principal Engineer</t>
  </si>
  <si>
    <t>?</t>
  </si>
  <si>
    <t>Pokharel, Shishir</t>
  </si>
  <si>
    <t>Senior, Principal Engineer</t>
  </si>
  <si>
    <t>Palomino Heras, Angel</t>
  </si>
  <si>
    <t>Baskota, Ujjwal</t>
  </si>
  <si>
    <t>Software Engineer, Audio/Video</t>
  </si>
  <si>
    <t>Waschbuesch, Norbert</t>
  </si>
  <si>
    <t>Engineering Manager, Media Streaming</t>
  </si>
  <si>
    <t>Khan, Ammar Ur Rahman</t>
  </si>
  <si>
    <t>Senior Full Stack Engineer</t>
  </si>
  <si>
    <t>Huang, Cheng-Kai</t>
  </si>
  <si>
    <t>Senior Software Engineer, Media Streaming</t>
  </si>
  <si>
    <t>Sanghvi, Parag</t>
  </si>
  <si>
    <t>Lead Software Engineer (Integrations)</t>
  </si>
  <si>
    <t>Streit, Brian</t>
  </si>
  <si>
    <t>Lead Data Scientist</t>
  </si>
  <si>
    <t>Nguyen, Christian Dinh</t>
  </si>
  <si>
    <t>Load Test Engineer</t>
  </si>
  <si>
    <t>Cloud Engineering</t>
  </si>
  <si>
    <t>Gampala, Praveen Kumar</t>
  </si>
  <si>
    <t>Senior Weblogic Administrator</t>
  </si>
  <si>
    <t>Liu, Chengyang</t>
  </si>
  <si>
    <t>Senior Web Application Server Administrator</t>
  </si>
  <si>
    <t>Kumar, Pratap</t>
  </si>
  <si>
    <t>Director, Cloud Engineering</t>
  </si>
  <si>
    <t>Nibret, Tarekegn</t>
  </si>
  <si>
    <t>Software Engineer (Integrations)</t>
  </si>
  <si>
    <t>Walter, Rajesh</t>
  </si>
  <si>
    <t>Senior Manager Software Engineering</t>
  </si>
  <si>
    <t>Engineering Support COGS</t>
  </si>
  <si>
    <t>Sangem, Purnachandra</t>
  </si>
  <si>
    <t>Senior Java/SQL Support Engineer</t>
  </si>
  <si>
    <t>Baptista Neto, Francisco Vicente</t>
  </si>
  <si>
    <t>Manager, Engineering Support</t>
  </si>
  <si>
    <t>Roig, Avi</t>
  </si>
  <si>
    <t>Kamalaksha</t>
  </si>
  <si>
    <t>Ghosh</t>
  </si>
  <si>
    <t>443</t>
  </si>
  <si>
    <t>Telang, Trupti</t>
  </si>
  <si>
    <t>Director, UI/UX</t>
  </si>
  <si>
    <t>Platform Elite</t>
  </si>
  <si>
    <t>Xia, Siqi</t>
  </si>
  <si>
    <t>UX Designer</t>
  </si>
  <si>
    <t>Elite Design</t>
  </si>
  <si>
    <t>Venkatachalam, Janani</t>
  </si>
  <si>
    <t>Lighthouse Design</t>
  </si>
  <si>
    <t>Hornik, Joshua</t>
  </si>
  <si>
    <t>Platform Product management</t>
  </si>
  <si>
    <t>Sims, Stephen</t>
  </si>
  <si>
    <t>Vice President, Product Management</t>
  </si>
  <si>
    <t>449</t>
  </si>
  <si>
    <t>Masotto, Tom</t>
  </si>
  <si>
    <t>Vice President Product Management</t>
  </si>
  <si>
    <t>Platform Evangelism</t>
  </si>
  <si>
    <t>Szelenyi, Mark</t>
  </si>
  <si>
    <t>Henry, Alan Scott</t>
  </si>
  <si>
    <t>Lighthouse Product Management</t>
  </si>
  <si>
    <t>Massakovskyy, Oleg</t>
  </si>
  <si>
    <t>Vice President QA Engineering</t>
  </si>
  <si>
    <t>Platform QA</t>
  </si>
  <si>
    <t>Preyomyshev, Pavel</t>
  </si>
  <si>
    <t>Grama, Olga</t>
  </si>
  <si>
    <t>452</t>
  </si>
  <si>
    <t>Resource</t>
  </si>
  <si>
    <t>Role</t>
  </si>
  <si>
    <t>Tech</t>
  </si>
  <si>
    <t>Dept</t>
  </si>
  <si>
    <t>Dept Code</t>
  </si>
  <si>
    <t>Supervisor</t>
  </si>
  <si>
    <t>Start Date</t>
  </si>
  <si>
    <t>Country</t>
  </si>
  <si>
    <t>Vendor</t>
  </si>
  <si>
    <t>Jazmin Florez</t>
  </si>
  <si>
    <t>Asterisk Dev</t>
  </si>
  <si>
    <t>SIGNAL</t>
  </si>
  <si>
    <t>Asterisk</t>
  </si>
  <si>
    <t>Platform Engg</t>
  </si>
  <si>
    <t>Shishir/Jaimini</t>
  </si>
  <si>
    <t>Colombia</t>
  </si>
  <si>
    <t>Esteban Mora</t>
  </si>
  <si>
    <t>Java Dev</t>
  </si>
  <si>
    <t>INT</t>
  </si>
  <si>
    <t>Java</t>
  </si>
  <si>
    <t>Brent/Angel</t>
  </si>
  <si>
    <t>Edwin Lopez</t>
  </si>
  <si>
    <t>JS Dev</t>
  </si>
  <si>
    <t>P10</t>
  </si>
  <si>
    <t>JS</t>
  </si>
  <si>
    <t>Elite Dev</t>
  </si>
  <si>
    <t>Mayank/David</t>
  </si>
  <si>
    <t>Javier Vargas</t>
  </si>
  <si>
    <t>Analytics Dev</t>
  </si>
  <si>
    <t>LOGI</t>
  </si>
  <si>
    <t>Logi</t>
  </si>
  <si>
    <t>Pedro Antonio Hernández</t>
  </si>
  <si>
    <t>Alejandro Castera</t>
  </si>
  <si>
    <t>WebRTC Dev</t>
  </si>
  <si>
    <t>WebRTC</t>
  </si>
  <si>
    <t>Mario Martinez Botero</t>
  </si>
  <si>
    <t>Juan David Aragon Orejuela</t>
  </si>
  <si>
    <t>John Nova</t>
  </si>
  <si>
    <t>OR</t>
  </si>
  <si>
    <t>Ehub Dev</t>
  </si>
  <si>
    <t>Vikram/Nataraja</t>
  </si>
  <si>
    <t>Jose Luis Varon</t>
  </si>
  <si>
    <t>VCA</t>
  </si>
  <si>
    <t>Jonathan Gil</t>
  </si>
  <si>
    <t>EliteStudio</t>
  </si>
  <si>
    <t>Lee Miguel Lopez Chauca</t>
  </si>
  <si>
    <t>Load Test Eng</t>
  </si>
  <si>
    <t>Load</t>
  </si>
  <si>
    <t>Christian/Jaimini</t>
  </si>
  <si>
    <t>Peru</t>
  </si>
  <si>
    <t>Diego Gonzalez Galvis</t>
  </si>
  <si>
    <t>VC Dev</t>
  </si>
  <si>
    <t>Jhon Edgar Gonzalez</t>
  </si>
  <si>
    <t>Jaime Andres Castillo Leon</t>
  </si>
  <si>
    <t>C++ Dev</t>
  </si>
  <si>
    <t>SiGNAL</t>
  </si>
  <si>
    <t>C++</t>
  </si>
  <si>
    <t>Jose Briceno</t>
  </si>
  <si>
    <t>Ivan Parra</t>
  </si>
  <si>
    <t>DevOps Eng</t>
  </si>
  <si>
    <t>DevOps</t>
  </si>
  <si>
    <t>Praveen/Jaimini</t>
  </si>
  <si>
    <t>Luis Salazar Buitrago</t>
  </si>
  <si>
    <t>FullStack Dev</t>
  </si>
  <si>
    <t>TOOLS</t>
  </si>
  <si>
    <t>FullStack</t>
  </si>
  <si>
    <t>Swati/Kamal</t>
  </si>
  <si>
    <t>Javier Stifano</t>
  </si>
  <si>
    <t>Venezuela</t>
  </si>
  <si>
    <t>Jairo Diaz Rodriguez</t>
  </si>
  <si>
    <t>Data Scientist</t>
  </si>
  <si>
    <t>AI/ML</t>
  </si>
  <si>
    <t>Luis Saraza Gutierrez</t>
  </si>
  <si>
    <t>Jhonatan Daniel Arcila Beltran</t>
  </si>
  <si>
    <t>Gopal/Rao</t>
  </si>
  <si>
    <t>Santiago Mejia Sanchez</t>
  </si>
  <si>
    <t>Brayan Moreno</t>
  </si>
  <si>
    <t>LightHouse</t>
  </si>
  <si>
    <t>LH Dev</t>
  </si>
  <si>
    <t>Cesar Roque</t>
  </si>
  <si>
    <t>Supp Eng</t>
  </si>
  <si>
    <t>SUPP</t>
  </si>
  <si>
    <t>Supp</t>
  </si>
  <si>
    <t>Engg Support</t>
  </si>
  <si>
    <t>Francisco</t>
  </si>
  <si>
    <t>Costa Rica</t>
  </si>
  <si>
    <t>Julian Eraso</t>
  </si>
  <si>
    <t>Security Eng</t>
  </si>
  <si>
    <t>SEC</t>
  </si>
  <si>
    <t>Sec</t>
  </si>
  <si>
    <t>Cristhian Camilo Salazar Rios</t>
  </si>
  <si>
    <t>Nesly Diana Castro</t>
  </si>
  <si>
    <t>Leonardo Ardila Osorio</t>
  </si>
  <si>
    <t>LH</t>
  </si>
  <si>
    <t>Daniel Cardona</t>
  </si>
  <si>
    <t>Salesforce Dev</t>
  </si>
  <si>
    <t>Neiro Diaz</t>
  </si>
  <si>
    <t>APPGEN</t>
  </si>
  <si>
    <t>Swati/Jaimini</t>
  </si>
  <si>
    <t>Andrés Felipe Restrepo Pino</t>
  </si>
  <si>
    <t>JS/React</t>
  </si>
  <si>
    <t>Andres Manotas</t>
  </si>
  <si>
    <t>Gustavo Lopes Barbosa De Silva</t>
  </si>
  <si>
    <t>Brazil</t>
  </si>
  <si>
    <t>Ricardo Bolanos</t>
  </si>
  <si>
    <t>Linux Systems Admin</t>
  </si>
  <si>
    <t>SYS</t>
  </si>
  <si>
    <t>Linux</t>
  </si>
  <si>
    <t>Net Ops</t>
  </si>
  <si>
    <t>John</t>
  </si>
  <si>
    <t>Juan Carlos Angulo</t>
  </si>
  <si>
    <t>Alejandro Varon</t>
  </si>
  <si>
    <t xml:space="preserve">Arnold Quist </t>
  </si>
  <si>
    <t>Andela</t>
  </si>
  <si>
    <t>Amber Mahajan</t>
  </si>
  <si>
    <t>#NA</t>
  </si>
  <si>
    <t>Infohorizon</t>
  </si>
  <si>
    <t>Vivek Yadfav</t>
  </si>
  <si>
    <t>Mehul Patel</t>
  </si>
  <si>
    <t>Ecosmob</t>
  </si>
  <si>
    <t>SF</t>
  </si>
  <si>
    <t>softappspro</t>
  </si>
  <si>
    <t xml:space="preserve">Rajiv Sahu     </t>
  </si>
  <si>
    <t xml:space="preserve">VC </t>
  </si>
  <si>
    <t xml:space="preserve">Manoj Patidar </t>
  </si>
  <si>
    <t>Shefali/Oleg</t>
  </si>
  <si>
    <t xml:space="preserve">Gurmeet Singh </t>
  </si>
  <si>
    <t>Shreya R aghuvanshi</t>
  </si>
  <si>
    <t>Ayushi  Khare</t>
  </si>
  <si>
    <t>Mayank Khede</t>
  </si>
  <si>
    <t xml:space="preserve">Purva Choudhary  </t>
  </si>
  <si>
    <t>Chitralekha Dwivedi</t>
  </si>
  <si>
    <t>Monica ibarolla</t>
  </si>
  <si>
    <t>Manjeet  Singh</t>
  </si>
  <si>
    <t>Rumana/Oleg</t>
  </si>
  <si>
    <t>Rahul  Yadav</t>
  </si>
  <si>
    <t>Abhijeet  Katragadda</t>
  </si>
  <si>
    <t>Priyanka  Jain</t>
  </si>
  <si>
    <t>Prakash  Mandwal</t>
  </si>
  <si>
    <t>Sarang  Rajderkar</t>
  </si>
  <si>
    <t>Shubham  Yadav</t>
  </si>
  <si>
    <t>Neha Meshram</t>
  </si>
  <si>
    <t>Radhika Takalkar</t>
  </si>
  <si>
    <t>Rashmi Jain</t>
  </si>
  <si>
    <t>Nikhil Joshi</t>
  </si>
  <si>
    <t>Naina Mor</t>
  </si>
  <si>
    <t>Jyothi Dadasri</t>
  </si>
  <si>
    <t xml:space="preserve">Sourabh </t>
  </si>
  <si>
    <t>Shobhit Jain</t>
  </si>
  <si>
    <t>Surbhi Saxena</t>
  </si>
  <si>
    <t>Rohina  Khan</t>
  </si>
  <si>
    <t>Ayushi Shinde</t>
  </si>
  <si>
    <t xml:space="preserve">Elite  </t>
  </si>
  <si>
    <t>Surbhi Modak</t>
  </si>
  <si>
    <t>Aniruddh  Dongariya</t>
  </si>
  <si>
    <t>Sheethal Lowanshi</t>
  </si>
  <si>
    <t>Ankit  Chowan</t>
  </si>
  <si>
    <t>Pushpendra  Tiwari</t>
  </si>
  <si>
    <t>Kanak  Choudgary</t>
  </si>
  <si>
    <t>Mohit Sengar</t>
  </si>
  <si>
    <t>Ehub/Target</t>
  </si>
  <si>
    <t>Jenny/Oleg</t>
  </si>
  <si>
    <t>Ajay  Yaday</t>
  </si>
  <si>
    <t>Gaurav Tomar</t>
  </si>
  <si>
    <t xml:space="preserve">QA  </t>
  </si>
  <si>
    <t xml:space="preserve">EU DB </t>
  </si>
  <si>
    <t>Syamala Bantupalli</t>
  </si>
  <si>
    <t xml:space="preserve">Radhamani Naidu </t>
  </si>
  <si>
    <t>Karan Sharma</t>
  </si>
  <si>
    <t>Hemeshwary Sendre</t>
  </si>
  <si>
    <t>QA Automation</t>
  </si>
  <si>
    <t>Pulkit Sharma</t>
  </si>
  <si>
    <t>Mayur Munshi</t>
  </si>
  <si>
    <t>Tarang Goyal</t>
  </si>
  <si>
    <t>Vaishali Jaiswal </t>
  </si>
  <si>
    <t>Sumeet Patidar </t>
  </si>
  <si>
    <t>Tarun Rajdev</t>
  </si>
  <si>
    <t>Rajesh *</t>
  </si>
  <si>
    <t>Joe</t>
  </si>
  <si>
    <t>Jay/Scott</t>
  </si>
  <si>
    <t>Scott/Ryan</t>
  </si>
  <si>
    <t>Kamal/Gopal</t>
  </si>
  <si>
    <t>4.5/0</t>
  </si>
  <si>
    <t>9/10</t>
  </si>
  <si>
    <t>10/11</t>
  </si>
  <si>
    <t>1/1</t>
  </si>
  <si>
    <t>4/6</t>
  </si>
  <si>
    <t>5/6</t>
  </si>
  <si>
    <t>Teams</t>
  </si>
  <si>
    <t>* Brent</t>
  </si>
  <si>
    <t>* Shishir</t>
  </si>
  <si>
    <t>* Swati (Appgen)</t>
  </si>
  <si>
    <t>Mayank (FE)</t>
  </si>
  <si>
    <t>Gopal</t>
  </si>
  <si>
    <t>*Francisco Neto</t>
  </si>
  <si>
    <t>* Vikram</t>
  </si>
  <si>
    <t>* Homer S</t>
  </si>
  <si>
    <t>* Pratap Kumar (CE)</t>
  </si>
  <si>
    <t>* Brian Streit</t>
  </si>
  <si>
    <t>* Guna Luitel</t>
  </si>
  <si>
    <t>* Jagjit Singh</t>
  </si>
  <si>
    <t>* Angel</t>
  </si>
  <si>
    <t>Chandrakant(Apgn)</t>
  </si>
  <si>
    <t>David W (FE)</t>
  </si>
  <si>
    <t xml:space="preserve">Andy Coles (FE)  </t>
  </si>
  <si>
    <t>Luis B</t>
  </si>
  <si>
    <r>
      <t>* Nataraja</t>
    </r>
    <r>
      <rPr>
        <sz val="9"/>
        <rFont val="Arial"/>
        <family val="2"/>
      </rPr>
      <t xml:space="preserve">    (BE)</t>
    </r>
  </si>
  <si>
    <t>* Nataraja  (BE)</t>
  </si>
  <si>
    <t>Joseph McDonald</t>
  </si>
  <si>
    <t>Mateo</t>
  </si>
  <si>
    <t>Parag Singhvi*</t>
  </si>
  <si>
    <t>Ujjwal Baskota</t>
  </si>
  <si>
    <t>Vivek (Apgn)</t>
  </si>
  <si>
    <t>Solijon (FE)</t>
  </si>
  <si>
    <t>Raphael Alves (BE)</t>
  </si>
  <si>
    <t>Rajiv S     (BE)</t>
  </si>
  <si>
    <t>Segun Salami (CE)</t>
  </si>
  <si>
    <t>Juan David Gomez</t>
  </si>
  <si>
    <t>Tarekegn</t>
  </si>
  <si>
    <t>Dan Homerick</t>
  </si>
  <si>
    <t>Neiro (Apgn)</t>
  </si>
  <si>
    <t>Nesly C</t>
  </si>
  <si>
    <t>Ermyas</t>
  </si>
  <si>
    <r>
      <t xml:space="preserve">Jawynson S </t>
    </r>
    <r>
      <rPr>
        <sz val="9"/>
        <rFont val="Arial"/>
        <family val="2"/>
      </rPr>
      <t>(FE)</t>
    </r>
  </si>
  <si>
    <r>
      <t xml:space="preserve">Shuanglin </t>
    </r>
    <r>
      <rPr>
        <sz val="9"/>
        <rFont val="Arial"/>
        <family val="2"/>
      </rPr>
      <t>(FE)</t>
    </r>
  </si>
  <si>
    <t>Alejandro V (VCA)</t>
  </si>
  <si>
    <t>Ajayi (BE)</t>
  </si>
  <si>
    <t>Bryan Hundven (CE)</t>
  </si>
  <si>
    <t>Mario M</t>
  </si>
  <si>
    <t>Pedro H</t>
  </si>
  <si>
    <t>Jose Viscasillas</t>
  </si>
  <si>
    <t>Yaroslav</t>
  </si>
  <si>
    <t xml:space="preserve">Arnold Q (FE) </t>
  </si>
  <si>
    <t>Jose (VCA)</t>
  </si>
  <si>
    <t>Michael (BE)</t>
  </si>
  <si>
    <t>Reethika Meda</t>
  </si>
  <si>
    <t>Dylan Baker</t>
  </si>
  <si>
    <t>Alejandro O</t>
  </si>
  <si>
    <t>Randall D (Randy)</t>
  </si>
  <si>
    <t>Piyush (BE)</t>
  </si>
  <si>
    <t>Ajay</t>
  </si>
  <si>
    <t>Nnouka (FE)</t>
  </si>
  <si>
    <t>Greg D (FE)</t>
  </si>
  <si>
    <r>
      <t xml:space="preserve">Juan B </t>
    </r>
    <r>
      <rPr>
        <b/>
        <sz val="11"/>
        <rFont val="Arial"/>
        <family val="2"/>
      </rPr>
      <t>(FE)</t>
    </r>
  </si>
  <si>
    <t>Alberto (50%) - (FE)</t>
  </si>
  <si>
    <t>*Alberto - (FE)</t>
  </si>
  <si>
    <t>Megha</t>
  </si>
  <si>
    <t>Praveen Gampala (DevOps)</t>
  </si>
  <si>
    <t>Javier V</t>
  </si>
  <si>
    <t>Jazmin</t>
  </si>
  <si>
    <t>Benjamin (FE)</t>
  </si>
  <si>
    <r>
      <t xml:space="preserve">Prashant </t>
    </r>
    <r>
      <rPr>
        <sz val="9"/>
        <color rgb="FFFF0000"/>
        <rFont val="Arial"/>
        <family val="2"/>
      </rPr>
      <t>(FE)</t>
    </r>
  </si>
  <si>
    <t>Juan Casas (FE)</t>
  </si>
  <si>
    <t>Shuang Wu (FE</t>
  </si>
  <si>
    <t>Shawn (FE)</t>
  </si>
  <si>
    <t>Melissa Culmone</t>
  </si>
  <si>
    <t>Kunal Bakshi</t>
  </si>
  <si>
    <t>Lilia (50%)</t>
  </si>
  <si>
    <r>
      <t xml:space="preserve">Amber </t>
    </r>
    <r>
      <rPr>
        <sz val="9"/>
        <rFont val="Arial"/>
        <family val="2"/>
      </rPr>
      <t>(BE)</t>
    </r>
  </si>
  <si>
    <t>Andres Mano (FE)</t>
  </si>
  <si>
    <t>Jim (FE)</t>
  </si>
  <si>
    <t>Ayush Gupta</t>
  </si>
  <si>
    <t>Jaime Leon</t>
  </si>
  <si>
    <r>
      <t xml:space="preserve">Shwetha </t>
    </r>
    <r>
      <rPr>
        <sz val="9"/>
        <rFont val="Arial"/>
        <family val="2"/>
      </rPr>
      <t>(BE)</t>
    </r>
  </si>
  <si>
    <t>Rodrigo (FE)</t>
  </si>
  <si>
    <t>Edwin Chiwona (FE)</t>
  </si>
  <si>
    <t>Kevin (FE)</t>
  </si>
  <si>
    <t>Load Test Eng (TBH)</t>
  </si>
  <si>
    <t>Ravi</t>
  </si>
  <si>
    <t>Jhon Barrero</t>
  </si>
  <si>
    <r>
      <t xml:space="preserve">Vinay </t>
    </r>
    <r>
      <rPr>
        <sz val="9"/>
        <rFont val="Arial"/>
        <family val="2"/>
      </rPr>
      <t xml:space="preserve"> (BE)</t>
    </r>
  </si>
  <si>
    <r>
      <t xml:space="preserve">Himanshu </t>
    </r>
    <r>
      <rPr>
        <sz val="9"/>
        <rFont val="Arial"/>
        <family val="2"/>
      </rPr>
      <t>(BE)</t>
    </r>
  </si>
  <si>
    <t>* Jenny</t>
  </si>
  <si>
    <t>Ivan Parra (DevOps)</t>
  </si>
  <si>
    <t xml:space="preserve">Shreya R </t>
  </si>
  <si>
    <t>Jesus</t>
  </si>
  <si>
    <r>
      <t xml:space="preserve">Luke </t>
    </r>
    <r>
      <rPr>
        <sz val="9"/>
        <rFont val="Arial"/>
        <family val="2"/>
      </rPr>
      <t>(BE)</t>
    </r>
  </si>
  <si>
    <t>Mohit S</t>
  </si>
  <si>
    <t>Yan (25%)</t>
  </si>
  <si>
    <t>Leonardo (FE)</t>
  </si>
  <si>
    <t xml:space="preserve">Ayushi </t>
  </si>
  <si>
    <t>David J Argon (BE)</t>
  </si>
  <si>
    <t>Shabna S (BE)</t>
  </si>
  <si>
    <t>Shailja Singh</t>
  </si>
  <si>
    <t xml:space="preserve">* Jenny </t>
  </si>
  <si>
    <t>Marco Antonio (DevOps)</t>
  </si>
  <si>
    <t>* Norbert W</t>
  </si>
  <si>
    <t>Jorge Roa (BE)</t>
  </si>
  <si>
    <t>Keshav J</t>
  </si>
  <si>
    <t>Pranita</t>
  </si>
  <si>
    <t>Venant  backfill (TBH)</t>
  </si>
  <si>
    <t>Jhonathan A (BE)</t>
  </si>
  <si>
    <t>Yadav P</t>
  </si>
  <si>
    <t>Bin Chen</t>
  </si>
  <si>
    <t>Prakash</t>
  </si>
  <si>
    <t>Surbhi B</t>
  </si>
  <si>
    <t>Radha</t>
  </si>
  <si>
    <t>Sandeep 5%</t>
  </si>
  <si>
    <t>Rahul</t>
  </si>
  <si>
    <t>Priyanka</t>
  </si>
  <si>
    <t xml:space="preserve">Rashmi Gupta </t>
  </si>
  <si>
    <t>* Rumana</t>
  </si>
  <si>
    <t>Neha</t>
  </si>
  <si>
    <t>*Jyothi D</t>
  </si>
  <si>
    <t>Helly T</t>
  </si>
  <si>
    <t>Gourav Tomar</t>
  </si>
  <si>
    <t>Kavya</t>
  </si>
  <si>
    <t>Megha J</t>
  </si>
  <si>
    <t>Surbhi</t>
  </si>
  <si>
    <t>Rothi P</t>
  </si>
  <si>
    <t>Sourabh</t>
  </si>
  <si>
    <t>Yuvraj Singh (Purawat)</t>
  </si>
  <si>
    <t>Tushar</t>
  </si>
  <si>
    <t>Sourbh S</t>
  </si>
  <si>
    <t>Shobhit</t>
  </si>
  <si>
    <t xml:space="preserve"> *Rohit</t>
  </si>
  <si>
    <t xml:space="preserve">Azhar </t>
  </si>
  <si>
    <t>Saloni Rathor</t>
  </si>
  <si>
    <t>Harshit V</t>
  </si>
  <si>
    <t>Ankit Jagtap</t>
  </si>
  <si>
    <t>Sanjeev</t>
  </si>
  <si>
    <t xml:space="preserve">Nishat Sheikh
</t>
  </si>
  <si>
    <t>Rashmi Gupta(70%)</t>
  </si>
  <si>
    <t>Naina M</t>
  </si>
  <si>
    <t>Surbhi M</t>
  </si>
  <si>
    <t>Neeraj T</t>
  </si>
  <si>
    <t>Radhika</t>
  </si>
  <si>
    <t>Naman</t>
  </si>
  <si>
    <t>Manish B</t>
  </si>
  <si>
    <t>Neeti</t>
  </si>
  <si>
    <t>Apurva C</t>
  </si>
  <si>
    <t>Anirudh</t>
  </si>
  <si>
    <t>Ashish Kaslikar</t>
  </si>
  <si>
    <t>Sheethal</t>
  </si>
  <si>
    <t>Ankit</t>
  </si>
  <si>
    <t>Chayan</t>
  </si>
  <si>
    <t>Pooja</t>
  </si>
  <si>
    <t>Harshita</t>
  </si>
  <si>
    <t>Vaishnavi</t>
  </si>
  <si>
    <t>Sanket</t>
  </si>
  <si>
    <t>Belongs to Multiple Projects</t>
  </si>
  <si>
    <t>Bold-Lead</t>
  </si>
  <si>
    <t>VEA = VE Analytics</t>
  </si>
  <si>
    <t>* Manager</t>
  </si>
  <si>
    <t>Product</t>
  </si>
  <si>
    <t>Analytics &amp; Integrations</t>
  </si>
  <si>
    <t>Steve Sims</t>
  </si>
  <si>
    <t>Dev (REMOTE)</t>
  </si>
  <si>
    <t>QA (All are remote)</t>
  </si>
  <si>
    <t>Scot Henry</t>
  </si>
  <si>
    <t xml:space="preserve">Swati </t>
  </si>
  <si>
    <t>Guna Luitel</t>
  </si>
  <si>
    <t>Norbert</t>
  </si>
  <si>
    <t>Chandrakant</t>
  </si>
  <si>
    <t>Himanshu (BE)</t>
  </si>
  <si>
    <t>Ryan Mara</t>
  </si>
  <si>
    <t>Cobin Dopkeen (NC)</t>
  </si>
  <si>
    <t>Shuang Wu</t>
  </si>
  <si>
    <t>Venu</t>
  </si>
  <si>
    <t xml:space="preserve">Joshua Hornik </t>
  </si>
  <si>
    <t>Ujjwal Baskota (NC)</t>
  </si>
  <si>
    <t xml:space="preserve"> Rumana</t>
  </si>
  <si>
    <t>Renuka Atale</t>
  </si>
  <si>
    <t>Jose Viscasillas (NC)</t>
  </si>
  <si>
    <t xml:space="preserve">Yan </t>
  </si>
  <si>
    <t>Kat V</t>
  </si>
  <si>
    <t>Pavel</t>
  </si>
  <si>
    <t>David Cronshaw</t>
  </si>
  <si>
    <t>Lilia</t>
  </si>
  <si>
    <t>Rajesh Walter (BE)</t>
  </si>
  <si>
    <t>Olga</t>
  </si>
  <si>
    <t xml:space="preserve">Shailja </t>
  </si>
  <si>
    <t>Abel</t>
  </si>
  <si>
    <t>Fong (NC)</t>
  </si>
  <si>
    <t>Mon</t>
  </si>
  <si>
    <t>Tue</t>
  </si>
  <si>
    <t>Wednesday</t>
  </si>
  <si>
    <t>Thursday</t>
  </si>
  <si>
    <t>Friday</t>
  </si>
  <si>
    <t>VE/GoLive/Ehub</t>
  </si>
  <si>
    <t>Shuang
Renuka
Vikram
Natraj
Venu
Jenny
Suchi
Nikhila</t>
  </si>
  <si>
    <t xml:space="preserve">Mahesh
</t>
  </si>
  <si>
    <t>GIANTS</t>
  </si>
  <si>
    <t>Rumana
Vimala
Alumelu
Jyothi
Friedrich
Nurlan
Pritish
David
Piyush
Sadiq</t>
  </si>
  <si>
    <t>Kamal
Jaimini
Jagjit
Piyush</t>
  </si>
  <si>
    <t>WARR</t>
  </si>
  <si>
    <t>ELITE</t>
  </si>
  <si>
    <t>ES</t>
  </si>
  <si>
    <t>David
Kaleem
Jay</t>
  </si>
  <si>
    <t>ANALYTICS</t>
  </si>
  <si>
    <t>CLOUD</t>
  </si>
  <si>
    <t>CSM</t>
  </si>
  <si>
    <t>abausch</t>
  </si>
  <si>
    <t>abhijit.katragadda</t>
  </si>
  <si>
    <t>acastera</t>
  </si>
  <si>
    <t>AColes</t>
  </si>
  <si>
    <t>acruz</t>
  </si>
  <si>
    <t>addon_zendesk</t>
  </si>
  <si>
    <t>adress</t>
  </si>
  <si>
    <t>adrohan</t>
  </si>
  <si>
    <t>AGovindareddy</t>
  </si>
  <si>
    <t>agupta</t>
  </si>
  <si>
    <t>Ajay.Mukhopadhyay</t>
  </si>
  <si>
    <t>ajay.yadav</t>
  </si>
  <si>
    <t>ajeffers</t>
  </si>
  <si>
    <t>ajimenez</t>
  </si>
  <si>
    <t>ajoshi</t>
  </si>
  <si>
    <t>akhan</t>
  </si>
  <si>
    <t>alexandra.glass</t>
  </si>
  <si>
    <t>alexis.henderson</t>
  </si>
  <si>
    <t>alison.quartironi</t>
  </si>
  <si>
    <t>aloo</t>
  </si>
  <si>
    <t>courtney.jones</t>
  </si>
  <si>
    <t>dancrow</t>
  </si>
  <si>
    <t>ddishman</t>
  </si>
  <si>
    <t>dkovalsk</t>
  </si>
  <si>
    <t>dmahr</t>
  </si>
  <si>
    <t>dmohan</t>
  </si>
  <si>
    <t>drew.steblay</t>
  </si>
  <si>
    <t>eelliott</t>
  </si>
  <si>
    <t>elizabeth.vincent</t>
  </si>
  <si>
    <t>emountain</t>
  </si>
  <si>
    <t>enrico.somaschini</t>
  </si>
  <si>
    <t>fbakkar</t>
  </si>
  <si>
    <t>ftokutake</t>
  </si>
  <si>
    <t>gabrielle.beckenham</t>
  </si>
  <si>
    <t>irummer</t>
  </si>
  <si>
    <t>jack.marfleet</t>
  </si>
  <si>
    <t>jacob.james</t>
  </si>
  <si>
    <t>jchappin</t>
  </si>
  <si>
    <t>jessica.homrich</t>
  </si>
  <si>
    <t>jirons</t>
  </si>
  <si>
    <t>jorge.serbia@on24.com</t>
  </si>
  <si>
    <t>jsailor</t>
  </si>
  <si>
    <t>jtennant</t>
  </si>
  <si>
    <t>jwirth</t>
  </si>
  <si>
    <t>kate.robison</t>
  </si>
  <si>
    <t>kayla.watson</t>
  </si>
  <si>
    <t>kelyn.wong</t>
  </si>
  <si>
    <t>kkline</t>
  </si>
  <si>
    <t>knyden</t>
  </si>
  <si>
    <t>kristin.frost</t>
  </si>
  <si>
    <t>kthomas</t>
  </si>
  <si>
    <t>kzaslavsky</t>
  </si>
  <si>
    <t>lindsay.karlin</t>
  </si>
  <si>
    <t>lindsey.houser</t>
  </si>
  <si>
    <t>lkrubner</t>
  </si>
  <si>
    <t>lvandepu</t>
  </si>
  <si>
    <t>matt.demetriou</t>
  </si>
  <si>
    <t>mcolmer</t>
  </si>
  <si>
    <t>mhoneycutt</t>
  </si>
  <si>
    <t>mike.lennon</t>
  </si>
  <si>
    <t>mjohal</t>
  </si>
  <si>
    <t>mmcdonough</t>
  </si>
  <si>
    <t>mstafford</t>
  </si>
  <si>
    <t>nik.frengle</t>
  </si>
  <si>
    <t>nina.busch</t>
  </si>
  <si>
    <t>nprairie</t>
  </si>
  <si>
    <t>nterada</t>
  </si>
  <si>
    <t>pbyron</t>
  </si>
  <si>
    <t>plakhani</t>
  </si>
  <si>
    <t>ross.stella</t>
  </si>
  <si>
    <t>rthiyaga</t>
  </si>
  <si>
    <t>scoughlin</t>
  </si>
  <si>
    <t>sray</t>
  </si>
  <si>
    <t>swilson</t>
  </si>
  <si>
    <t>thawes</t>
  </si>
  <si>
    <t>thenry</t>
  </si>
  <si>
    <t>tmelese</t>
  </si>
  <si>
    <t>todd.germaine</t>
  </si>
  <si>
    <t>vfell</t>
  </si>
  <si>
    <t>yyamada</t>
  </si>
  <si>
    <t>Sales</t>
  </si>
  <si>
    <t>BCrissman</t>
  </si>
  <si>
    <t>bmarkovic</t>
  </si>
  <si>
    <t>DMitrica</t>
  </si>
  <si>
    <t>GLee</t>
  </si>
  <si>
    <t>jbyrne</t>
  </si>
  <si>
    <t>jcaroupa</t>
  </si>
  <si>
    <t>RZabell</t>
  </si>
  <si>
    <t>schang</t>
  </si>
  <si>
    <t>SPereira</t>
  </si>
  <si>
    <t>TCoy</t>
  </si>
  <si>
    <t>TIrons</t>
  </si>
  <si>
    <t>UIsa</t>
  </si>
  <si>
    <t>WUlrich</t>
  </si>
  <si>
    <t>NetOps</t>
  </si>
  <si>
    <t>george.jones</t>
  </si>
  <si>
    <t>mmasero</t>
  </si>
  <si>
    <t>Role(FE/BE)</t>
  </si>
  <si>
    <t>Performance</t>
  </si>
  <si>
    <t>Arnold Quist</t>
  </si>
  <si>
    <t>FE</t>
  </si>
  <si>
    <t>:)</t>
  </si>
  <si>
    <t>N'nouka Stephen</t>
  </si>
  <si>
    <t>React Console</t>
  </si>
  <si>
    <t>:|</t>
  </si>
  <si>
    <t>Ermyas Fekadu</t>
  </si>
  <si>
    <t xml:space="preserve"> Benjamin Faleye</t>
  </si>
  <si>
    <t>BE</t>
  </si>
  <si>
    <t>Exceeding Expectations</t>
  </si>
  <si>
    <t>Jean Abayo</t>
  </si>
  <si>
    <t>Meeting Expectations</t>
  </si>
  <si>
    <t>:(</t>
  </si>
  <si>
    <t>Below Expectations</t>
  </si>
  <si>
    <t>Yaroslav Melnyk</t>
  </si>
  <si>
    <t>Daxx</t>
  </si>
  <si>
    <t>Need more time for assessment</t>
  </si>
  <si>
    <t>Bydrec</t>
  </si>
  <si>
    <t>Gustavo Lopes</t>
  </si>
  <si>
    <t>Godson</t>
  </si>
  <si>
    <t>Jaun Casas</t>
  </si>
  <si>
    <t>Raphael Alves</t>
  </si>
  <si>
    <t>Nestor Flores</t>
  </si>
  <si>
    <t>Juan Angulo</t>
  </si>
  <si>
    <t>Lighthouse</t>
  </si>
  <si>
    <t>Elite-React</t>
  </si>
  <si>
    <t>Jonathan Arcila</t>
  </si>
  <si>
    <t>Jorge</t>
  </si>
  <si>
    <t>Rodrigo</t>
  </si>
  <si>
    <t>Benjamin Faleye</t>
  </si>
  <si>
    <t>Diego Gonzales</t>
  </si>
  <si>
    <t>Santiago Mejia</t>
  </si>
  <si>
    <t>Jonathan Gill</t>
  </si>
  <si>
    <t xml:space="preserve">Alejandro Castera </t>
  </si>
  <si>
    <t>Oluwasegun Ajayi</t>
  </si>
  <si>
    <t>Javier Stiffano</t>
  </si>
  <si>
    <t>Victor</t>
  </si>
  <si>
    <t>Edwin</t>
  </si>
  <si>
    <t>Column</t>
  </si>
  <si>
    <t>Unique Count</t>
  </si>
  <si>
    <t>DEV FT</t>
  </si>
  <si>
    <t>Dev Con</t>
  </si>
  <si>
    <t>QA CT</t>
  </si>
  <si>
    <t>UX</t>
  </si>
  <si>
    <t>Juan David</t>
  </si>
  <si>
    <t>Vimala (80%)</t>
  </si>
  <si>
    <t>Pritish</t>
  </si>
  <si>
    <t xml:space="preserve">Amber </t>
  </si>
  <si>
    <t>Alumelu (100%)</t>
  </si>
  <si>
    <t xml:space="preserve">Shwetha </t>
  </si>
  <si>
    <t>Santiago</t>
  </si>
  <si>
    <t>Marina B (60%)</t>
  </si>
  <si>
    <t>Rajesh KUmar</t>
  </si>
  <si>
    <t>Diego</t>
  </si>
  <si>
    <t>Jay</t>
  </si>
  <si>
    <t>Nnouka</t>
  </si>
  <si>
    <t xml:space="preserve">Kaleem </t>
  </si>
  <si>
    <t>Dan</t>
  </si>
  <si>
    <t>Randall (Video) (95%)</t>
  </si>
  <si>
    <t>Category</t>
  </si>
  <si>
    <t>Jose</t>
  </si>
  <si>
    <t>Lucas (Video) (60%)</t>
  </si>
  <si>
    <t>Yashdeep Singh</t>
  </si>
  <si>
    <t xml:space="preserve">Avi </t>
  </si>
  <si>
    <t>Alejandro(Video) (20%)</t>
  </si>
  <si>
    <t>Mohini Verma</t>
  </si>
  <si>
    <t xml:space="preserve">Rajesh </t>
  </si>
  <si>
    <t xml:space="preserve">Shabna </t>
  </si>
  <si>
    <t>Juan</t>
  </si>
  <si>
    <t xml:space="preserve">Mayur </t>
  </si>
  <si>
    <t>Tejiri Matthew (client)</t>
  </si>
  <si>
    <t>Jenny Wai Li</t>
  </si>
  <si>
    <t>shishir</t>
  </si>
  <si>
    <t>Luke (server)</t>
  </si>
  <si>
    <t>John Nova (Client)</t>
  </si>
  <si>
    <t>Juan (client)C</t>
  </si>
  <si>
    <t>Rahul Yadav (60%)</t>
  </si>
  <si>
    <t>Greg-BE</t>
  </si>
  <si>
    <t>Jonathan Perez - BE</t>
  </si>
  <si>
    <t>Yan</t>
  </si>
  <si>
    <t>C-Islam Mohammed</t>
  </si>
  <si>
    <t>Shailija</t>
  </si>
  <si>
    <t>Mayank Gupta</t>
  </si>
  <si>
    <t>C-Javier Stifano</t>
  </si>
  <si>
    <t>Surbhi (100%)</t>
  </si>
  <si>
    <t>Alberto Perez Galiano</t>
  </si>
  <si>
    <t>Rajesh Patel</t>
  </si>
  <si>
    <r>
      <rPr>
        <sz val="11"/>
        <color theme="1"/>
        <rFont val="Calibri"/>
        <family val="2"/>
      </rPr>
      <t>Á</t>
    </r>
    <r>
      <rPr>
        <sz val="11"/>
        <color rgb="FF000000"/>
        <rFont val="Calibri"/>
        <family val="2"/>
      </rPr>
      <t>ngel</t>
    </r>
  </si>
  <si>
    <t>Alejandro V (100%)</t>
  </si>
  <si>
    <t>Vedika (60%)</t>
  </si>
  <si>
    <t>Camilo</t>
  </si>
  <si>
    <t>Feliepe</t>
  </si>
  <si>
    <t>Vivek</t>
  </si>
  <si>
    <t>Oscar</t>
  </si>
  <si>
    <t>Hernan</t>
  </si>
  <si>
    <t>Akshay Patidar(50%)</t>
  </si>
  <si>
    <t>Mario (60%)</t>
  </si>
  <si>
    <t>Chang kai</t>
  </si>
  <si>
    <t>Swati</t>
  </si>
  <si>
    <t>Bhushan Mahire (60%)</t>
  </si>
  <si>
    <t>Sachin Patil</t>
  </si>
  <si>
    <t>Gargeya</t>
  </si>
  <si>
    <t>Abhijeet Joshi</t>
  </si>
  <si>
    <t>Prajawal Saxsena</t>
  </si>
  <si>
    <t>Anshul</t>
  </si>
  <si>
    <t>Anurag Padiyar</t>
  </si>
  <si>
    <t>Megha Upadhayay</t>
  </si>
  <si>
    <t>Rahul Gupta</t>
  </si>
  <si>
    <t>Kanika</t>
  </si>
  <si>
    <t>Kushal</t>
  </si>
  <si>
    <t>Chitra</t>
  </si>
  <si>
    <t>Shruti</t>
  </si>
  <si>
    <t>Shreya (80%)</t>
  </si>
  <si>
    <t>Gourav (70%)</t>
  </si>
  <si>
    <t>Mahima (80%)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</si>
</sst>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/d/yyyy;@"/>
    <numFmt numFmtId="165" formatCode="mm/dd/yyyy"/>
    <numFmt numFmtId="166" formatCode="_(&quot;$&quot;* #,##0_);_(&quot;$&quot;* \(#,##0\);_(&quot;$&quot;* &quot;-&quot;??_);_(@_)"/>
  </numFmts>
  <fonts count="64" x14ac:knownFonts="1">
    <font>
      <sz val="10"/>
      <color rgb="FF000000"/>
      <name val="Arial"/>
    </font>
    <font>
      <b/>
      <sz val="12"/>
      <color rgb="FF000000"/>
      <name val="Calibri"/>
      <family val="2"/>
    </font>
    <font>
      <sz val="10"/>
      <name val="Arial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sz val="12"/>
      <name val="Calibri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rgb="FF0000FF"/>
      <name val="Calibri"/>
      <family val="2"/>
    </font>
    <font>
      <b/>
      <sz val="11"/>
      <name val="Calibri"/>
      <family val="2"/>
    </font>
    <font>
      <b/>
      <i/>
      <sz val="12"/>
      <name val="Calibri"/>
      <family val="2"/>
    </font>
    <font>
      <b/>
      <i/>
      <sz val="11"/>
      <color rgb="FF0000FF"/>
      <name val="Calibri"/>
      <family val="2"/>
    </font>
    <font>
      <sz val="9"/>
      <name val="Arial"/>
      <family val="2"/>
    </font>
    <font>
      <sz val="11"/>
      <color rgb="FF000000"/>
      <name val="Segoe UI"/>
      <charset val="1"/>
    </font>
    <font>
      <sz val="11"/>
      <color rgb="FFFF0000"/>
      <name val="Calibri"/>
      <family val="2"/>
    </font>
    <font>
      <sz val="10"/>
      <color rgb="FF0070C0"/>
      <name val="Arial"/>
      <family val="2"/>
    </font>
    <font>
      <sz val="10"/>
      <color rgb="FFFFC000"/>
      <name val="Arial"/>
      <family val="2"/>
    </font>
    <font>
      <b/>
      <sz val="10"/>
      <color rgb="FF000000"/>
      <name val="Arial"/>
      <family val="2"/>
    </font>
    <font>
      <sz val="12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Arial"/>
      <family val="2"/>
    </font>
    <font>
      <sz val="11"/>
      <color rgb="FF172B4D"/>
      <name val="Arial"/>
      <family val="2"/>
      <charset val="1"/>
    </font>
    <font>
      <b/>
      <sz val="11"/>
      <name val="Arial"/>
      <family val="2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sz val="12"/>
      <color rgb="FFFF0000"/>
      <name val="Calibri"/>
      <family val="2"/>
    </font>
    <font>
      <b/>
      <i/>
      <sz val="10"/>
      <color rgb="FF000000"/>
      <name val="Arial"/>
      <family val="2"/>
    </font>
    <font>
      <sz val="16"/>
      <color rgb="FFFFFFFF"/>
      <name val="Arial"/>
      <family val="2"/>
    </font>
    <font>
      <sz val="16"/>
      <color rgb="FF0070C0"/>
      <name val="Arial"/>
      <family val="2"/>
    </font>
    <font>
      <sz val="16"/>
      <color rgb="FFFFC000"/>
      <name val="Arial"/>
      <family val="2"/>
    </font>
    <font>
      <i/>
      <sz val="12"/>
      <color rgb="FFFF0000"/>
      <name val="Calibri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sz val="9"/>
      <color rgb="FFFF0000"/>
      <name val="Arial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1"/>
      <color rgb="FFD9D9D9"/>
      <name val="Calibri"/>
      <family val="2"/>
    </font>
    <font>
      <i/>
      <sz val="11"/>
      <color rgb="FFD9D9D9"/>
      <name val="Calibri"/>
      <family val="2"/>
    </font>
    <font>
      <b/>
      <sz val="11"/>
      <color rgb="FFD9D9D9"/>
      <name val="Calibri"/>
      <family val="2"/>
    </font>
    <font>
      <sz val="10"/>
      <color rgb="FFD9D9D9"/>
      <name val="Arial"/>
      <family val="2"/>
    </font>
    <font>
      <sz val="11"/>
      <color rgb="FFF2F2F2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b/>
      <sz val="16"/>
      <color rgb="FF0070C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252424"/>
      <name val="Segoe UI"/>
      <charset val="1"/>
    </font>
    <font>
      <sz val="11"/>
      <color theme="1"/>
      <name val="Calibri"/>
      <family val="2"/>
    </font>
    <font>
      <b/>
      <sz val="13.5"/>
      <color rgb="FF000000"/>
      <name val="Arial"/>
      <family val="2"/>
    </font>
    <font>
      <b/>
      <sz val="12"/>
      <color rgb="FF000000"/>
      <name val="Arial"/>
      <family val="2"/>
    </font>
    <font>
      <i/>
      <sz val="10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D9D9D9"/>
        <bgColor rgb="FFD9D9D9"/>
      </patternFill>
    </fill>
    <fill>
      <patternFill patternType="solid">
        <fgColor rgb="FFC27BA0"/>
        <bgColor rgb="FFC27BA0"/>
      </patternFill>
    </fill>
    <fill>
      <patternFill patternType="solid">
        <fgColor rgb="FFBF8F00"/>
        <bgColor rgb="FFBF8F00"/>
      </patternFill>
    </fill>
    <fill>
      <patternFill patternType="solid">
        <fgColor rgb="FF9BC2E6"/>
        <bgColor rgb="FF9BC2E6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C9C9C9"/>
        <bgColor rgb="FFC9C9C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E6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3">
    <xf numFmtId="0" fontId="0" fillId="0" borderId="0"/>
    <xf numFmtId="44" fontId="50" fillId="0" borderId="0" applyFont="0" applyFill="0" applyBorder="0" applyAlignment="0" applyProtection="0"/>
    <xf numFmtId="0" fontId="51" fillId="0" borderId="0"/>
  </cellStyleXfs>
  <cellXfs count="699">
    <xf numFmtId="0" fontId="0" fillId="0" borderId="0" xfId="0"/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5" fillId="0" borderId="0" xfId="0" applyFont="1"/>
    <xf numFmtId="0" fontId="6" fillId="14" borderId="1" xfId="0" applyFont="1" applyFill="1" applyBorder="1"/>
    <xf numFmtId="0" fontId="1" fillId="0" borderId="1" xfId="0" applyFont="1" applyBorder="1"/>
    <xf numFmtId="0" fontId="8" fillId="14" borderId="1" xfId="0" applyFont="1" applyFill="1" applyBorder="1"/>
    <xf numFmtId="0" fontId="10" fillId="0" borderId="0" xfId="0" applyFont="1"/>
    <xf numFmtId="0" fontId="11" fillId="6" borderId="1" xfId="0" applyFont="1" applyFill="1" applyBorder="1"/>
    <xf numFmtId="0" fontId="12" fillId="13" borderId="1" xfId="0" applyFont="1" applyFill="1" applyBorder="1" applyAlignment="1">
      <alignment horizontal="right"/>
    </xf>
    <xf numFmtId="0" fontId="8" fillId="14" borderId="1" xfId="0" applyFont="1" applyFill="1" applyBorder="1" applyAlignment="1">
      <alignment horizontal="left"/>
    </xf>
    <xf numFmtId="0" fontId="7" fillId="13" borderId="1" xfId="0" applyFont="1" applyFill="1" applyBorder="1"/>
    <xf numFmtId="0" fontId="7" fillId="0" borderId="1" xfId="0" applyFont="1" applyBorder="1"/>
    <xf numFmtId="0" fontId="10" fillId="0" borderId="1" xfId="0" applyFont="1" applyBorder="1"/>
    <xf numFmtId="0" fontId="11" fillId="14" borderId="1" xfId="0" applyFont="1" applyFill="1" applyBorder="1"/>
    <xf numFmtId="0" fontId="11" fillId="0" borderId="1" xfId="0" applyFont="1" applyBorder="1"/>
    <xf numFmtId="0" fontId="13" fillId="14" borderId="1" xfId="0" applyFont="1" applyFill="1" applyBorder="1"/>
    <xf numFmtId="0" fontId="6" fillId="0" borderId="1" xfId="0" applyFont="1" applyBorder="1"/>
    <xf numFmtId="0" fontId="14" fillId="13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15" fillId="9" borderId="1" xfId="0" applyFont="1" applyFill="1" applyBorder="1" applyAlignment="1">
      <alignment horizontal="right"/>
    </xf>
    <xf numFmtId="0" fontId="5" fillId="0" borderId="1" xfId="0" applyFont="1" applyBorder="1"/>
    <xf numFmtId="0" fontId="12" fillId="9" borderId="1" xfId="0" applyFont="1" applyFill="1" applyBorder="1" applyAlignment="1">
      <alignment horizontal="right"/>
    </xf>
    <xf numFmtId="0" fontId="2" fillId="0" borderId="0" xfId="0" applyFont="1"/>
    <xf numFmtId="0" fontId="12" fillId="15" borderId="1" xfId="0" applyFont="1" applyFill="1" applyBorder="1" applyAlignment="1">
      <alignment horizontal="right"/>
    </xf>
    <xf numFmtId="0" fontId="5" fillId="1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1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1" fillId="14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 wrapText="1"/>
    </xf>
    <xf numFmtId="0" fontId="7" fillId="0" borderId="4" xfId="0" applyFont="1" applyBorder="1" applyAlignment="1">
      <alignment horizontal="right"/>
    </xf>
    <xf numFmtId="0" fontId="11" fillId="0" borderId="4" xfId="0" applyFont="1" applyBorder="1"/>
    <xf numFmtId="0" fontId="11" fillId="0" borderId="5" xfId="0" applyFont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11" fillId="9" borderId="1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right"/>
    </xf>
    <xf numFmtId="0" fontId="10" fillId="17" borderId="1" xfId="0" applyFont="1" applyFill="1" applyBorder="1"/>
    <xf numFmtId="0" fontId="12" fillId="9" borderId="5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19" borderId="1" xfId="0" applyFont="1" applyFill="1" applyBorder="1"/>
    <xf numFmtId="0" fontId="11" fillId="0" borderId="1" xfId="0" applyFont="1" applyBorder="1" applyAlignment="1">
      <alignment wrapText="1"/>
    </xf>
    <xf numFmtId="0" fontId="6" fillId="0" borderId="4" xfId="0" applyFont="1" applyBorder="1"/>
    <xf numFmtId="0" fontId="7" fillId="0" borderId="7" xfId="0" applyFont="1" applyBorder="1" applyAlignment="1">
      <alignment horizontal="right"/>
    </xf>
    <xf numFmtId="0" fontId="7" fillId="13" borderId="6" xfId="0" applyFont="1" applyFill="1" applyBorder="1" applyAlignment="1">
      <alignment horizontal="right"/>
    </xf>
    <xf numFmtId="0" fontId="9" fillId="13" borderId="1" xfId="0" applyFont="1" applyFill="1" applyBorder="1" applyAlignment="1">
      <alignment horizontal="left"/>
    </xf>
    <xf numFmtId="0" fontId="22" fillId="1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14" borderId="4" xfId="0" applyFont="1" applyFill="1" applyBorder="1"/>
    <xf numFmtId="0" fontId="6" fillId="14" borderId="7" xfId="0" applyFont="1" applyFill="1" applyBorder="1"/>
    <xf numFmtId="0" fontId="10" fillId="13" borderId="1" xfId="0" applyFont="1" applyFill="1" applyBorder="1" applyAlignment="1">
      <alignment horizontal="left"/>
    </xf>
    <xf numFmtId="0" fontId="0" fillId="20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0" borderId="1" xfId="0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15" fillId="9" borderId="1" xfId="0" applyFont="1" applyFill="1" applyBorder="1" applyAlignment="1">
      <alignment horizontal="left" vertical="top"/>
    </xf>
    <xf numFmtId="0" fontId="12" fillId="15" borderId="1" xfId="0" applyFont="1" applyFill="1" applyBorder="1" applyAlignment="1">
      <alignment horizontal="left" vertical="top"/>
    </xf>
    <xf numFmtId="0" fontId="21" fillId="22" borderId="1" xfId="0" applyFont="1" applyFill="1" applyBorder="1" applyAlignment="1">
      <alignment horizontal="center" vertical="center"/>
    </xf>
    <xf numFmtId="164" fontId="21" fillId="22" borderId="1" xfId="0" applyNumberFormat="1" applyFont="1" applyFill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17" borderId="1" xfId="0" applyFill="1" applyBorder="1"/>
    <xf numFmtId="0" fontId="0" fillId="17" borderId="5" xfId="0" applyFill="1" applyBorder="1"/>
    <xf numFmtId="0" fontId="0" fillId="17" borderId="1" xfId="0" applyFill="1" applyBorder="1" applyAlignment="1">
      <alignment horizontal="left" vertical="top"/>
    </xf>
    <xf numFmtId="0" fontId="0" fillId="17" borderId="5" xfId="0" applyFill="1" applyBorder="1" applyAlignment="1">
      <alignment horizontal="left" vertical="top"/>
    </xf>
    <xf numFmtId="0" fontId="11" fillId="17" borderId="1" xfId="0" applyFont="1" applyFill="1" applyBorder="1" applyAlignment="1">
      <alignment horizontal="left" vertical="top"/>
    </xf>
    <xf numFmtId="0" fontId="6" fillId="19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21" fillId="22" borderId="5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7" fillId="20" borderId="0" xfId="0" applyFont="1" applyFill="1" applyAlignment="1">
      <alignment horizontal="center" wrapText="1"/>
    </xf>
    <xf numFmtId="0" fontId="18" fillId="0" borderId="1" xfId="0" applyFont="1" applyBorder="1" applyAlignment="1">
      <alignment horizontal="right" vertical="top"/>
    </xf>
    <xf numFmtId="0" fontId="1" fillId="21" borderId="9" xfId="0" applyFont="1" applyFill="1" applyBorder="1" applyAlignment="1">
      <alignment horizontal="center" vertical="center" wrapText="1"/>
    </xf>
    <xf numFmtId="0" fontId="1" fillId="21" borderId="10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right"/>
    </xf>
    <xf numFmtId="0" fontId="26" fillId="2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6" fillId="20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0" fontId="0" fillId="25" borderId="0" xfId="0" applyFill="1"/>
    <xf numFmtId="0" fontId="9" fillId="0" borderId="4" xfId="0" applyFont="1" applyBorder="1" applyAlignment="1">
      <alignment horizontal="left"/>
    </xf>
    <xf numFmtId="0" fontId="27" fillId="0" borderId="0" xfId="0" applyFont="1"/>
    <xf numFmtId="0" fontId="7" fillId="17" borderId="1" xfId="0" applyFont="1" applyFill="1" applyBorder="1"/>
    <xf numFmtId="0" fontId="29" fillId="18" borderId="1" xfId="0" applyFont="1" applyFill="1" applyBorder="1" applyAlignment="1">
      <alignment horizontal="center"/>
    </xf>
    <xf numFmtId="0" fontId="30" fillId="0" borderId="0" xfId="0" applyFont="1"/>
    <xf numFmtId="0" fontId="5" fillId="17" borderId="0" xfId="0" applyFont="1" applyFill="1"/>
    <xf numFmtId="0" fontId="0" fillId="17" borderId="0" xfId="0" applyFill="1"/>
    <xf numFmtId="0" fontId="31" fillId="17" borderId="0" xfId="0" applyFont="1" applyFill="1" applyAlignment="1">
      <alignment horizontal="right"/>
    </xf>
    <xf numFmtId="0" fontId="3" fillId="17" borderId="0" xfId="0" applyFont="1" applyFill="1"/>
    <xf numFmtId="0" fontId="33" fillId="18" borderId="1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3" fillId="18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17" borderId="6" xfId="0" applyFill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8" fillId="0" borderId="0" xfId="0" applyFont="1"/>
    <xf numFmtId="0" fontId="4" fillId="29" borderId="1" xfId="0" applyFont="1" applyFill="1" applyBorder="1" applyAlignment="1">
      <alignment horizontal="center" vertical="center"/>
    </xf>
    <xf numFmtId="0" fontId="4" fillId="29" borderId="8" xfId="0" applyFont="1" applyFill="1" applyBorder="1" applyAlignment="1">
      <alignment horizontal="center" vertical="center" wrapText="1"/>
    </xf>
    <xf numFmtId="0" fontId="4" fillId="29" borderId="2" xfId="0" applyFont="1" applyFill="1" applyBorder="1" applyAlignment="1">
      <alignment horizontal="center" vertical="center"/>
    </xf>
    <xf numFmtId="0" fontId="4" fillId="29" borderId="2" xfId="0" applyFont="1" applyFill="1" applyBorder="1" applyAlignment="1">
      <alignment horizontal="center" vertical="center" wrapText="1"/>
    </xf>
    <xf numFmtId="0" fontId="4" fillId="29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right"/>
    </xf>
    <xf numFmtId="12" fontId="1" fillId="17" borderId="1" xfId="0" applyNumberFormat="1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0" fontId="2" fillId="17" borderId="0" xfId="0" applyFont="1" applyFill="1"/>
    <xf numFmtId="0" fontId="1" fillId="29" borderId="1" xfId="0" applyFont="1" applyFill="1" applyBorder="1" applyAlignment="1">
      <alignment horizontal="right" vertical="center"/>
    </xf>
    <xf numFmtId="0" fontId="7" fillId="15" borderId="1" xfId="0" applyFont="1" applyFill="1" applyBorder="1" applyAlignment="1">
      <alignment horizontal="right"/>
    </xf>
    <xf numFmtId="0" fontId="6" fillId="30" borderId="1" xfId="0" applyFont="1" applyFill="1" applyBorder="1" applyAlignment="1">
      <alignment horizontal="left" vertical="top"/>
    </xf>
    <xf numFmtId="0" fontId="6" fillId="30" borderId="1" xfId="0" applyFont="1" applyFill="1" applyBorder="1"/>
    <xf numFmtId="0" fontId="13" fillId="30" borderId="1" xfId="0" applyFont="1" applyFill="1" applyBorder="1" applyAlignment="1">
      <alignment horizontal="left"/>
    </xf>
    <xf numFmtId="0" fontId="8" fillId="30" borderId="1" xfId="0" applyFont="1" applyFill="1" applyBorder="1" applyAlignment="1">
      <alignment horizontal="left"/>
    </xf>
    <xf numFmtId="0" fontId="40" fillId="29" borderId="1" xfId="0" applyFont="1" applyFill="1" applyBorder="1" applyAlignment="1">
      <alignment horizontal="center" vertical="center"/>
    </xf>
    <xf numFmtId="0" fontId="12" fillId="17" borderId="0" xfId="0" applyFont="1" applyFill="1" applyAlignment="1">
      <alignment horizontal="right"/>
    </xf>
    <xf numFmtId="0" fontId="12" fillId="9" borderId="0" xfId="0" applyFont="1" applyFill="1" applyAlignment="1">
      <alignment horizontal="right"/>
    </xf>
    <xf numFmtId="0" fontId="6" fillId="30" borderId="7" xfId="0" applyFont="1" applyFill="1" applyBorder="1"/>
    <xf numFmtId="0" fontId="11" fillId="0" borderId="6" xfId="0" applyFont="1" applyBorder="1"/>
    <xf numFmtId="0" fontId="7" fillId="0" borderId="1" xfId="0" applyFont="1" applyBorder="1" applyAlignment="1">
      <alignment horizontal="right" vertical="top"/>
    </xf>
    <xf numFmtId="0" fontId="12" fillId="28" borderId="14" xfId="0" applyFont="1" applyFill="1" applyBorder="1" applyAlignment="1">
      <alignment horizontal="right" vertical="center"/>
    </xf>
    <xf numFmtId="0" fontId="36" fillId="28" borderId="23" xfId="0" applyFont="1" applyFill="1" applyBorder="1" applyAlignment="1">
      <alignment horizontal="right" vertical="center"/>
    </xf>
    <xf numFmtId="0" fontId="5" fillId="17" borderId="14" xfId="0" applyFont="1" applyFill="1" applyBorder="1" applyAlignment="1">
      <alignment horizontal="center"/>
    </xf>
    <xf numFmtId="0" fontId="5" fillId="17" borderId="15" xfId="0" applyFont="1" applyFill="1" applyBorder="1" applyAlignment="1">
      <alignment horizontal="center"/>
    </xf>
    <xf numFmtId="0" fontId="4" fillId="13" borderId="27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center" vertical="center" wrapText="1"/>
    </xf>
    <xf numFmtId="0" fontId="41" fillId="31" borderId="27" xfId="0" applyFont="1" applyFill="1" applyBorder="1" applyAlignment="1">
      <alignment horizontal="center" vertical="center"/>
    </xf>
    <xf numFmtId="0" fontId="4" fillId="13" borderId="30" xfId="0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vertical="center"/>
    </xf>
    <xf numFmtId="0" fontId="0" fillId="0" borderId="32" xfId="0" applyBorder="1"/>
    <xf numFmtId="0" fontId="42" fillId="27" borderId="14" xfId="0" applyFont="1" applyFill="1" applyBorder="1" applyAlignment="1">
      <alignment horizontal="left" vertical="top"/>
    </xf>
    <xf numFmtId="0" fontId="43" fillId="27" borderId="14" xfId="0" applyFont="1" applyFill="1" applyBorder="1" applyAlignment="1">
      <alignment horizontal="left" vertical="top"/>
    </xf>
    <xf numFmtId="0" fontId="0" fillId="0" borderId="14" xfId="0" applyBorder="1"/>
    <xf numFmtId="0" fontId="44" fillId="0" borderId="17" xfId="0" applyFont="1" applyBorder="1" applyAlignment="1">
      <alignment horizontal="left" vertical="center"/>
    </xf>
    <xf numFmtId="0" fontId="44" fillId="17" borderId="24" xfId="0" applyFont="1" applyFill="1" applyBorder="1" applyAlignment="1">
      <alignment horizontal="left" vertical="center"/>
    </xf>
    <xf numFmtId="0" fontId="44" fillId="17" borderId="0" xfId="0" applyFont="1" applyFill="1" applyAlignment="1">
      <alignment horizontal="right" vertical="center"/>
    </xf>
    <xf numFmtId="0" fontId="45" fillId="17" borderId="17" xfId="0" applyFont="1" applyFill="1" applyBorder="1" applyAlignment="1">
      <alignment horizontal="left" vertical="center"/>
    </xf>
    <xf numFmtId="0" fontId="45" fillId="17" borderId="18" xfId="0" applyFont="1" applyFill="1" applyBorder="1" applyAlignment="1">
      <alignment horizontal="left" vertical="center"/>
    </xf>
    <xf numFmtId="0" fontId="44" fillId="0" borderId="26" xfId="0" applyFont="1" applyBorder="1" applyAlignment="1">
      <alignment horizontal="left" vertical="center"/>
    </xf>
    <xf numFmtId="0" fontId="44" fillId="0" borderId="3" xfId="0" applyFont="1" applyBorder="1" applyAlignment="1">
      <alignment horizontal="left" vertical="center"/>
    </xf>
    <xf numFmtId="0" fontId="45" fillId="28" borderId="20" xfId="0" applyFont="1" applyFill="1" applyBorder="1" applyAlignment="1">
      <alignment horizontal="left" vertical="center"/>
    </xf>
    <xf numFmtId="0" fontId="45" fillId="28" borderId="14" xfId="0" applyFont="1" applyFill="1" applyBorder="1" applyAlignment="1">
      <alignment horizontal="right" vertical="center"/>
    </xf>
    <xf numFmtId="0" fontId="45" fillId="28" borderId="15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47" fillId="0" borderId="14" xfId="0" applyFont="1" applyBorder="1"/>
    <xf numFmtId="0" fontId="47" fillId="0" borderId="15" xfId="0" applyFont="1" applyBorder="1"/>
    <xf numFmtId="0" fontId="46" fillId="0" borderId="13" xfId="0" applyFont="1" applyBorder="1" applyAlignment="1">
      <alignment vertical="center"/>
    </xf>
    <xf numFmtId="0" fontId="44" fillId="0" borderId="29" xfId="0" applyFont="1" applyBorder="1" applyAlignment="1">
      <alignment horizontal="right" vertical="center"/>
    </xf>
    <xf numFmtId="0" fontId="44" fillId="0" borderId="39" xfId="0" applyFont="1" applyBorder="1" applyAlignment="1">
      <alignment horizontal="right" vertical="center"/>
    </xf>
    <xf numFmtId="0" fontId="43" fillId="0" borderId="16" xfId="0" applyFont="1" applyBorder="1" applyAlignment="1">
      <alignment horizontal="left" vertical="top"/>
    </xf>
    <xf numFmtId="0" fontId="42" fillId="17" borderId="17" xfId="0" applyFont="1" applyFill="1" applyBorder="1" applyAlignment="1">
      <alignment horizontal="left" vertical="top"/>
    </xf>
    <xf numFmtId="0" fontId="46" fillId="0" borderId="24" xfId="0" applyFont="1" applyBorder="1" applyAlignment="1">
      <alignment horizontal="right" vertical="center"/>
    </xf>
    <xf numFmtId="0" fontId="43" fillId="17" borderId="17" xfId="0" applyFont="1" applyFill="1" applyBorder="1" applyAlignment="1">
      <alignment horizontal="left" vertical="center"/>
    </xf>
    <xf numFmtId="0" fontId="44" fillId="17" borderId="28" xfId="0" applyFont="1" applyFill="1" applyBorder="1" applyAlignment="1">
      <alignment horizontal="left" vertical="center" wrapText="1"/>
    </xf>
    <xf numFmtId="0" fontId="48" fillId="19" borderId="29" xfId="0" applyFont="1" applyFill="1" applyBorder="1" applyAlignment="1">
      <alignment horizontal="lef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2" borderId="33" xfId="0" applyFont="1" applyFill="1" applyBorder="1" applyAlignment="1">
      <alignment horizontal="right"/>
    </xf>
    <xf numFmtId="0" fontId="1" fillId="32" borderId="33" xfId="0" applyFont="1" applyFill="1" applyBorder="1" applyAlignment="1">
      <alignment horizontal="center"/>
    </xf>
    <xf numFmtId="0" fontId="1" fillId="32" borderId="16" xfId="0" applyFont="1" applyFill="1" applyBorder="1" applyAlignment="1">
      <alignment horizontal="center"/>
    </xf>
    <xf numFmtId="0" fontId="1" fillId="32" borderId="13" xfId="0" applyFont="1" applyFill="1" applyBorder="1" applyAlignment="1">
      <alignment horizontal="center"/>
    </xf>
    <xf numFmtId="0" fontId="0" fillId="32" borderId="0" xfId="0" applyFill="1"/>
    <xf numFmtId="0" fontId="1" fillId="32" borderId="20" xfId="0" applyFont="1" applyFill="1" applyBorder="1" applyAlignment="1">
      <alignment horizontal="right"/>
    </xf>
    <xf numFmtId="0" fontId="1" fillId="32" borderId="20" xfId="0" applyFont="1" applyFill="1" applyBorder="1" applyAlignment="1">
      <alignment horizontal="center"/>
    </xf>
    <xf numFmtId="0" fontId="1" fillId="32" borderId="34" xfId="0" applyFont="1" applyFill="1" applyBorder="1" applyAlignment="1">
      <alignment horizontal="center"/>
    </xf>
    <xf numFmtId="0" fontId="1" fillId="32" borderId="17" xfId="0" applyFont="1" applyFill="1" applyBorder="1" applyAlignment="1">
      <alignment horizontal="center"/>
    </xf>
    <xf numFmtId="0" fontId="1" fillId="32" borderId="14" xfId="0" applyFont="1" applyFill="1" applyBorder="1" applyAlignment="1">
      <alignment horizontal="center"/>
    </xf>
    <xf numFmtId="49" fontId="1" fillId="32" borderId="20" xfId="0" applyNumberFormat="1" applyFont="1" applyFill="1" applyBorder="1" applyAlignment="1">
      <alignment horizontal="center"/>
    </xf>
    <xf numFmtId="49" fontId="1" fillId="32" borderId="27" xfId="0" applyNumberFormat="1" applyFont="1" applyFill="1" applyBorder="1" applyAlignment="1">
      <alignment horizontal="center"/>
    </xf>
    <xf numFmtId="49" fontId="1" fillId="32" borderId="18" xfId="0" applyNumberFormat="1" applyFont="1" applyFill="1" applyBorder="1" applyAlignment="1">
      <alignment horizontal="center"/>
    </xf>
    <xf numFmtId="49" fontId="1" fillId="32" borderId="15" xfId="0" applyNumberFormat="1" applyFont="1" applyFill="1" applyBorder="1" applyAlignment="1">
      <alignment horizontal="center"/>
    </xf>
    <xf numFmtId="0" fontId="1" fillId="17" borderId="21" xfId="0" applyFont="1" applyFill="1" applyBorder="1" applyAlignment="1">
      <alignment horizontal="right"/>
    </xf>
    <xf numFmtId="0" fontId="1" fillId="17" borderId="21" xfId="0" applyFont="1" applyFill="1" applyBorder="1" applyAlignment="1">
      <alignment horizontal="center"/>
    </xf>
    <xf numFmtId="0" fontId="1" fillId="17" borderId="22" xfId="0" applyFont="1" applyFill="1" applyBorder="1" applyAlignment="1">
      <alignment horizontal="center"/>
    </xf>
    <xf numFmtId="0" fontId="1" fillId="17" borderId="26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1" fillId="17" borderId="20" xfId="0" applyFont="1" applyFill="1" applyBorder="1" applyAlignment="1">
      <alignment horizontal="right"/>
    </xf>
    <xf numFmtId="0" fontId="1" fillId="17" borderId="20" xfId="0" applyFont="1" applyFill="1" applyBorder="1" applyAlignment="1">
      <alignment horizontal="center"/>
    </xf>
    <xf numFmtId="0" fontId="1" fillId="17" borderId="34" xfId="0" applyFont="1" applyFill="1" applyBorder="1" applyAlignment="1">
      <alignment horizontal="center"/>
    </xf>
    <xf numFmtId="49" fontId="1" fillId="32" borderId="20" xfId="0" applyNumberFormat="1" applyFont="1" applyFill="1" applyBorder="1" applyAlignment="1">
      <alignment horizontal="right"/>
    </xf>
    <xf numFmtId="49" fontId="0" fillId="32" borderId="0" xfId="0" applyNumberFormat="1" applyFill="1"/>
    <xf numFmtId="0" fontId="4" fillId="26" borderId="21" xfId="0" applyFont="1" applyFill="1" applyBorder="1" applyAlignment="1">
      <alignment vertical="center"/>
    </xf>
    <xf numFmtId="0" fontId="4" fillId="26" borderId="22" xfId="0" applyFont="1" applyFill="1" applyBorder="1" applyAlignment="1">
      <alignment vertical="center"/>
    </xf>
    <xf numFmtId="0" fontId="4" fillId="26" borderId="32" xfId="0" applyFont="1" applyFill="1" applyBorder="1" applyAlignment="1">
      <alignment vertical="center"/>
    </xf>
    <xf numFmtId="0" fontId="4" fillId="26" borderId="21" xfId="0" applyFont="1" applyFill="1" applyBorder="1"/>
    <xf numFmtId="0" fontId="4" fillId="26" borderId="22" xfId="0" applyFont="1" applyFill="1" applyBorder="1"/>
    <xf numFmtId="0" fontId="4" fillId="26" borderId="32" xfId="0" applyFont="1" applyFill="1" applyBorder="1"/>
    <xf numFmtId="0" fontId="6" fillId="0" borderId="22" xfId="0" applyFont="1" applyBorder="1" applyAlignment="1">
      <alignment horizontal="right"/>
    </xf>
    <xf numFmtId="0" fontId="4" fillId="17" borderId="0" xfId="0" applyFont="1" applyFill="1" applyAlignment="1">
      <alignment vertical="center"/>
    </xf>
    <xf numFmtId="0" fontId="6" fillId="27" borderId="28" xfId="0" applyFont="1" applyFill="1" applyBorder="1" applyAlignment="1">
      <alignment vertical="center"/>
    </xf>
    <xf numFmtId="0" fontId="6" fillId="27" borderId="27" xfId="0" applyFont="1" applyFill="1" applyBorder="1" applyAlignment="1">
      <alignment vertical="center"/>
    </xf>
    <xf numFmtId="0" fontId="6" fillId="27" borderId="25" xfId="0" applyFont="1" applyFill="1" applyBorder="1" applyAlignment="1">
      <alignment vertical="center"/>
    </xf>
    <xf numFmtId="0" fontId="6" fillId="27" borderId="0" xfId="0" applyFont="1" applyFill="1" applyAlignment="1">
      <alignment vertical="center"/>
    </xf>
    <xf numFmtId="0" fontId="1" fillId="17" borderId="27" xfId="0" applyFont="1" applyFill="1" applyBorder="1" applyAlignment="1">
      <alignment vertical="center"/>
    </xf>
    <xf numFmtId="0" fontId="11" fillId="0" borderId="14" xfId="0" applyFont="1" applyBorder="1" applyAlignment="1">
      <alignment horizontal="right" vertical="center"/>
    </xf>
    <xf numFmtId="0" fontId="6" fillId="27" borderId="3" xfId="0" applyFont="1" applyFill="1" applyBorder="1" applyAlignment="1">
      <alignment vertical="center"/>
    </xf>
    <xf numFmtId="0" fontId="6" fillId="27" borderId="19" xfId="0" applyFont="1" applyFill="1" applyBorder="1" applyAlignment="1">
      <alignment vertical="center"/>
    </xf>
    <xf numFmtId="0" fontId="7" fillId="28" borderId="18" xfId="0" applyFont="1" applyFill="1" applyBorder="1" applyAlignment="1">
      <alignment horizontal="right" vertical="center"/>
    </xf>
    <xf numFmtId="0" fontId="6" fillId="27" borderId="14" xfId="0" applyFont="1" applyFill="1" applyBorder="1" applyAlignment="1">
      <alignment vertical="center"/>
    </xf>
    <xf numFmtId="0" fontId="11" fillId="0" borderId="31" xfId="0" applyFont="1" applyBorder="1" applyAlignment="1">
      <alignment horizontal="right" vertical="center"/>
    </xf>
    <xf numFmtId="0" fontId="12" fillId="28" borderId="17" xfId="0" applyFont="1" applyFill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3" fillId="26" borderId="22" xfId="0" applyFont="1" applyFill="1" applyBorder="1" applyAlignment="1">
      <alignment horizontal="left" vertical="center" wrapText="1"/>
    </xf>
    <xf numFmtId="0" fontId="11" fillId="0" borderId="28" xfId="0" applyFont="1" applyBorder="1" applyAlignment="1">
      <alignment horizontal="right" vertical="center"/>
    </xf>
    <xf numFmtId="0" fontId="6" fillId="27" borderId="23" xfId="0" applyFont="1" applyFill="1" applyBorder="1" applyAlignment="1">
      <alignment vertical="center"/>
    </xf>
    <xf numFmtId="0" fontId="7" fillId="17" borderId="0" xfId="0" applyFont="1" applyFill="1" applyAlignment="1">
      <alignment horizontal="right" vertical="center"/>
    </xf>
    <xf numFmtId="0" fontId="11" fillId="0" borderId="25" xfId="0" applyFont="1" applyBorder="1" applyAlignment="1">
      <alignment horizontal="right" vertical="center"/>
    </xf>
    <xf numFmtId="0" fontId="24" fillId="17" borderId="0" xfId="0" applyFont="1" applyFill="1" applyAlignment="1">
      <alignment vertical="center"/>
    </xf>
    <xf numFmtId="0" fontId="6" fillId="27" borderId="0" xfId="0" applyFont="1" applyFill="1" applyAlignment="1">
      <alignment horizontal="left" vertical="center"/>
    </xf>
    <xf numFmtId="0" fontId="6" fillId="27" borderId="27" xfId="0" applyFont="1" applyFill="1" applyBorder="1" applyAlignment="1">
      <alignment horizontal="left" vertical="center"/>
    </xf>
    <xf numFmtId="0" fontId="7" fillId="28" borderId="17" xfId="0" applyFont="1" applyFill="1" applyBorder="1" applyAlignment="1">
      <alignment horizontal="right" vertical="center"/>
    </xf>
    <xf numFmtId="0" fontId="1" fillId="17" borderId="0" xfId="0" applyFont="1" applyFill="1" applyAlignment="1">
      <alignment vertical="center"/>
    </xf>
    <xf numFmtId="0" fontId="11" fillId="0" borderId="26" xfId="0" applyFont="1" applyBorder="1" applyAlignment="1">
      <alignment horizontal="right" vertical="center"/>
    </xf>
    <xf numFmtId="0" fontId="11" fillId="17" borderId="0" xfId="0" applyFont="1" applyFill="1" applyAlignment="1">
      <alignment horizontal="right" vertical="center" wrapText="1"/>
    </xf>
    <xf numFmtId="0" fontId="11" fillId="17" borderId="0" xfId="0" applyFont="1" applyFill="1" applyAlignment="1">
      <alignment horizontal="right" vertical="center"/>
    </xf>
    <xf numFmtId="0" fontId="7" fillId="28" borderId="31" xfId="0" applyFont="1" applyFill="1" applyBorder="1" applyAlignment="1">
      <alignment horizontal="right" vertical="center"/>
    </xf>
    <xf numFmtId="0" fontId="6" fillId="27" borderId="30" xfId="0" applyFont="1" applyFill="1" applyBorder="1" applyAlignment="1">
      <alignment vertical="center"/>
    </xf>
    <xf numFmtId="0" fontId="11" fillId="17" borderId="0" xfId="0" applyFont="1" applyFill="1" applyAlignment="1">
      <alignment vertical="center"/>
    </xf>
    <xf numFmtId="0" fontId="7" fillId="28" borderId="24" xfId="0" applyFont="1" applyFill="1" applyBorder="1" applyAlignment="1">
      <alignment horizontal="right" vertical="top"/>
    </xf>
    <xf numFmtId="0" fontId="7" fillId="28" borderId="17" xfId="0" applyFont="1" applyFill="1" applyBorder="1" applyAlignment="1">
      <alignment horizontal="right" vertical="top"/>
    </xf>
    <xf numFmtId="0" fontId="11" fillId="0" borderId="17" xfId="0" applyFont="1" applyBorder="1" applyAlignment="1">
      <alignment horizontal="right" vertical="center"/>
    </xf>
    <xf numFmtId="0" fontId="10" fillId="0" borderId="14" xfId="0" applyFont="1" applyBorder="1" applyAlignment="1">
      <alignment horizontal="right" vertical="center"/>
    </xf>
    <xf numFmtId="0" fontId="10" fillId="17" borderId="0" xfId="0" applyFont="1" applyFill="1" applyAlignment="1">
      <alignment horizontal="right" vertical="center"/>
    </xf>
    <xf numFmtId="0" fontId="5" fillId="0" borderId="25" xfId="0" applyFont="1" applyBorder="1" applyAlignment="1">
      <alignment horizontal="right" vertical="center"/>
    </xf>
    <xf numFmtId="0" fontId="10" fillId="17" borderId="0" xfId="0" applyFont="1" applyFill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7" fillId="28" borderId="14" xfId="0" applyFont="1" applyFill="1" applyBorder="1" applyAlignment="1">
      <alignment horizontal="right" vertical="center"/>
    </xf>
    <xf numFmtId="0" fontId="11" fillId="13" borderId="14" xfId="0" applyFont="1" applyFill="1" applyBorder="1" applyAlignment="1">
      <alignment horizontal="right" vertical="center"/>
    </xf>
    <xf numFmtId="0" fontId="7" fillId="28" borderId="38" xfId="0" applyFont="1" applyFill="1" applyBorder="1" applyAlignment="1">
      <alignment horizontal="right" vertical="center"/>
    </xf>
    <xf numFmtId="0" fontId="7" fillId="28" borderId="19" xfId="0" applyFont="1" applyFill="1" applyBorder="1" applyAlignment="1">
      <alignment horizontal="right" vertical="top"/>
    </xf>
    <xf numFmtId="0" fontId="9" fillId="17" borderId="0" xfId="0" applyFont="1" applyFill="1" applyAlignment="1">
      <alignment horizontal="right" vertical="center"/>
    </xf>
    <xf numFmtId="0" fontId="11" fillId="17" borderId="0" xfId="0" applyFont="1" applyFill="1" applyAlignment="1">
      <alignment horizontal="left" vertical="center"/>
    </xf>
    <xf numFmtId="0" fontId="18" fillId="17" borderId="0" xfId="0" applyFont="1" applyFill="1" applyAlignment="1">
      <alignment horizontal="right" vertical="center"/>
    </xf>
    <xf numFmtId="0" fontId="7" fillId="28" borderId="26" xfId="0" applyFont="1" applyFill="1" applyBorder="1" applyAlignment="1">
      <alignment horizontal="right" vertical="center"/>
    </xf>
    <xf numFmtId="0" fontId="12" fillId="28" borderId="18" xfId="0" applyFont="1" applyFill="1" applyBorder="1" applyAlignment="1">
      <alignment horizontal="right" vertical="center"/>
    </xf>
    <xf numFmtId="0" fontId="7" fillId="28" borderId="15" xfId="0" applyFont="1" applyFill="1" applyBorder="1" applyAlignment="1">
      <alignment horizontal="right" vertical="center"/>
    </xf>
    <xf numFmtId="0" fontId="6" fillId="17" borderId="0" xfId="0" applyFont="1" applyFill="1" applyAlignment="1">
      <alignment horizontal="right" vertical="center"/>
    </xf>
    <xf numFmtId="0" fontId="3" fillId="17" borderId="0" xfId="0" applyFont="1" applyFill="1" applyAlignment="1">
      <alignment horizontal="left" vertical="center" wrapText="1"/>
    </xf>
    <xf numFmtId="0" fontId="7" fillId="28" borderId="29" xfId="0" applyFont="1" applyFill="1" applyBorder="1" applyAlignment="1">
      <alignment horizontal="right" vertical="center"/>
    </xf>
    <xf numFmtId="0" fontId="10" fillId="17" borderId="0" xfId="0" applyFont="1" applyFill="1" applyAlignment="1">
      <alignment horizontal="left" vertical="center"/>
    </xf>
    <xf numFmtId="0" fontId="12" fillId="28" borderId="15" xfId="0" applyFont="1" applyFill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14" fillId="17" borderId="0" xfId="0" applyFont="1" applyFill="1" applyAlignment="1">
      <alignment horizontal="right" vertical="center"/>
    </xf>
    <xf numFmtId="0" fontId="12" fillId="17" borderId="0" xfId="0" applyFont="1" applyFill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15" fillId="28" borderId="17" xfId="0" applyFont="1" applyFill="1" applyBorder="1" applyAlignment="1">
      <alignment horizontal="right" vertical="center"/>
    </xf>
    <xf numFmtId="0" fontId="5" fillId="17" borderId="0" xfId="0" applyFont="1" applyFill="1" applyAlignment="1">
      <alignment horizontal="right" vertical="center"/>
    </xf>
    <xf numFmtId="0" fontId="9" fillId="17" borderId="0" xfId="0" applyFont="1" applyFill="1" applyAlignment="1">
      <alignment horizontal="left" vertical="center"/>
    </xf>
    <xf numFmtId="0" fontId="11" fillId="0" borderId="14" xfId="0" applyFont="1" applyBorder="1" applyAlignment="1">
      <alignment horizontal="right" vertical="center" wrapText="1"/>
    </xf>
    <xf numFmtId="0" fontId="22" fillId="17" borderId="14" xfId="0" applyFont="1" applyFill="1" applyBorder="1" applyAlignment="1">
      <alignment horizontal="right" vertical="center"/>
    </xf>
    <xf numFmtId="0" fontId="15" fillId="17" borderId="0" xfId="0" applyFont="1" applyFill="1" applyAlignment="1">
      <alignment horizontal="right" vertical="center"/>
    </xf>
    <xf numFmtId="0" fontId="5" fillId="17" borderId="0" xfId="0" applyFont="1" applyFill="1" applyAlignment="1">
      <alignment vertical="center"/>
    </xf>
    <xf numFmtId="0" fontId="11" fillId="17" borderId="14" xfId="0" applyFont="1" applyFill="1" applyBorder="1" applyAlignment="1">
      <alignment horizontal="right" vertical="center"/>
    </xf>
    <xf numFmtId="0" fontId="24" fillId="0" borderId="0" xfId="0" applyFont="1" applyAlignment="1">
      <alignment vertical="center"/>
    </xf>
    <xf numFmtId="0" fontId="15" fillId="28" borderId="14" xfId="0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24" fillId="17" borderId="0" xfId="0" applyFont="1" applyFill="1"/>
    <xf numFmtId="0" fontId="34" fillId="17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4" fillId="26" borderId="37" xfId="0" applyFont="1" applyFill="1" applyBorder="1" applyAlignment="1">
      <alignment horizontal="left" vertical="center"/>
    </xf>
    <xf numFmtId="0" fontId="4" fillId="26" borderId="22" xfId="0" applyFont="1" applyFill="1" applyBorder="1" applyAlignment="1">
      <alignment horizontal="left" vertical="center"/>
    </xf>
    <xf numFmtId="0" fontId="4" fillId="27" borderId="41" xfId="0" applyFont="1" applyFill="1" applyBorder="1" applyAlignment="1">
      <alignment horizontal="left" vertical="center"/>
    </xf>
    <xf numFmtId="0" fontId="4" fillId="26" borderId="33" xfId="0" applyFont="1" applyFill="1" applyBorder="1" applyAlignment="1">
      <alignment horizontal="left" vertical="center"/>
    </xf>
    <xf numFmtId="0" fontId="4" fillId="26" borderId="36" xfId="0" applyFont="1" applyFill="1" applyBorder="1" applyAlignment="1">
      <alignment horizontal="left" vertical="center"/>
    </xf>
    <xf numFmtId="0" fontId="4" fillId="26" borderId="21" xfId="0" applyFont="1" applyFill="1" applyBorder="1" applyAlignment="1">
      <alignment horizontal="left"/>
    </xf>
    <xf numFmtId="0" fontId="4" fillId="26" borderId="33" xfId="0" applyFont="1" applyFill="1" applyBorder="1" applyAlignment="1">
      <alignment horizontal="left"/>
    </xf>
    <xf numFmtId="0" fontId="4" fillId="26" borderId="21" xfId="0" applyFont="1" applyFill="1" applyBorder="1" applyAlignment="1">
      <alignment horizontal="left" vertical="center"/>
    </xf>
    <xf numFmtId="0" fontId="3" fillId="26" borderId="33" xfId="0" applyFont="1" applyFill="1" applyBorder="1" applyAlignment="1">
      <alignment horizontal="left" vertical="center" wrapText="1"/>
    </xf>
    <xf numFmtId="0" fontId="6" fillId="0" borderId="22" xfId="0" applyFont="1" applyBorder="1" applyAlignment="1">
      <alignment horizontal="left"/>
    </xf>
    <xf numFmtId="0" fontId="6" fillId="17" borderId="40" xfId="0" applyFont="1" applyFill="1" applyBorder="1" applyAlignment="1">
      <alignment vertical="center"/>
    </xf>
    <xf numFmtId="0" fontId="6" fillId="17" borderId="30" xfId="0" applyFont="1" applyFill="1" applyBorder="1" applyAlignment="1">
      <alignment vertical="center"/>
    </xf>
    <xf numFmtId="0" fontId="11" fillId="17" borderId="16" xfId="0" applyFont="1" applyFill="1" applyBorder="1" applyAlignment="1">
      <alignment horizontal="left" vertical="center"/>
    </xf>
    <xf numFmtId="0" fontId="24" fillId="19" borderId="17" xfId="0" applyFont="1" applyFill="1" applyBorder="1" applyAlignment="1">
      <alignment horizontal="left" vertical="center"/>
    </xf>
    <xf numFmtId="0" fontId="24" fillId="19" borderId="13" xfId="0" applyFont="1" applyFill="1" applyBorder="1" applyAlignment="1">
      <alignment horizontal="left" vertical="center"/>
    </xf>
    <xf numFmtId="0" fontId="6" fillId="17" borderId="16" xfId="0" applyFont="1" applyFill="1" applyBorder="1" applyAlignment="1">
      <alignment vertical="center"/>
    </xf>
    <xf numFmtId="0" fontId="24" fillId="19" borderId="16" xfId="0" applyFont="1" applyFill="1" applyBorder="1" applyAlignment="1">
      <alignment horizontal="left" vertical="center"/>
    </xf>
    <xf numFmtId="0" fontId="6" fillId="17" borderId="3" xfId="0" applyFont="1" applyFill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24" fillId="19" borderId="14" xfId="0" applyFont="1" applyFill="1" applyBorder="1" applyAlignment="1">
      <alignment horizontal="left" vertical="center"/>
    </xf>
    <xf numFmtId="0" fontId="11" fillId="17" borderId="24" xfId="0" applyFont="1" applyFill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4" fillId="26" borderId="20" xfId="0" applyFont="1" applyFill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4" fillId="26" borderId="17" xfId="0" applyFont="1" applyFill="1" applyBorder="1" applyAlignment="1">
      <alignment horizontal="right" vertical="center"/>
    </xf>
    <xf numFmtId="0" fontId="11" fillId="17" borderId="14" xfId="0" applyFont="1" applyFill="1" applyBorder="1" applyAlignment="1">
      <alignment vertical="center"/>
    </xf>
    <xf numFmtId="0" fontId="11" fillId="0" borderId="26" xfId="0" applyFont="1" applyBorder="1" applyAlignment="1">
      <alignment horizontal="left" vertical="center"/>
    </xf>
    <xf numFmtId="0" fontId="24" fillId="19" borderId="17" xfId="0" applyFont="1" applyFill="1" applyBorder="1" applyAlignment="1">
      <alignment horizontal="right" vertical="center"/>
    </xf>
    <xf numFmtId="0" fontId="4" fillId="26" borderId="21" xfId="0" applyFont="1" applyFill="1" applyBorder="1" applyAlignment="1">
      <alignment horizontal="right" vertical="center"/>
    </xf>
    <xf numFmtId="0" fontId="4" fillId="26" borderId="34" xfId="0" applyFont="1" applyFill="1" applyBorder="1" applyAlignment="1">
      <alignment horizontal="right" vertical="center"/>
    </xf>
    <xf numFmtId="0" fontId="4" fillId="26" borderId="14" xfId="0" applyFont="1" applyFill="1" applyBorder="1" applyAlignment="1">
      <alignment horizontal="right" vertical="center"/>
    </xf>
    <xf numFmtId="0" fontId="4" fillId="26" borderId="37" xfId="0" applyFont="1" applyFill="1" applyBorder="1" applyAlignment="1">
      <alignment horizontal="right" vertical="center"/>
    </xf>
    <xf numFmtId="0" fontId="24" fillId="27" borderId="14" xfId="0" applyFont="1" applyFill="1" applyBorder="1" applyAlignment="1">
      <alignment horizontal="left" vertical="top"/>
    </xf>
    <xf numFmtId="0" fontId="6" fillId="17" borderId="18" xfId="0" applyFont="1" applyFill="1" applyBorder="1" applyAlignment="1">
      <alignment horizontal="right" vertical="center"/>
    </xf>
    <xf numFmtId="0" fontId="24" fillId="19" borderId="18" xfId="0" applyFont="1" applyFill="1" applyBorder="1" applyAlignment="1">
      <alignment horizontal="right" vertical="center"/>
    </xf>
    <xf numFmtId="0" fontId="24" fillId="17" borderId="14" xfId="0" applyFont="1" applyFill="1" applyBorder="1" applyAlignment="1">
      <alignment horizontal="right" vertical="center"/>
    </xf>
    <xf numFmtId="0" fontId="6" fillId="17" borderId="26" xfId="0" applyFont="1" applyFill="1" applyBorder="1" applyAlignment="1">
      <alignment horizontal="right"/>
    </xf>
    <xf numFmtId="0" fontId="24" fillId="19" borderId="14" xfId="0" applyFont="1" applyFill="1" applyBorder="1" applyAlignment="1">
      <alignment horizontal="right" vertical="center"/>
    </xf>
    <xf numFmtId="0" fontId="24" fillId="13" borderId="14" xfId="0" applyFont="1" applyFill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24" fillId="13" borderId="15" xfId="0" applyFont="1" applyFill="1" applyBorder="1" applyAlignment="1">
      <alignment horizontal="right" vertical="center"/>
    </xf>
    <xf numFmtId="0" fontId="6" fillId="17" borderId="17" xfId="0" applyFont="1" applyFill="1" applyBorder="1" applyAlignment="1">
      <alignment horizontal="right"/>
    </xf>
    <xf numFmtId="0" fontId="24" fillId="19" borderId="15" xfId="0" applyFont="1" applyFill="1" applyBorder="1" applyAlignment="1">
      <alignment horizontal="right" vertical="center"/>
    </xf>
    <xf numFmtId="0" fontId="24" fillId="17" borderId="15" xfId="0" applyFont="1" applyFill="1" applyBorder="1" applyAlignment="1">
      <alignment horizontal="right" vertical="center"/>
    </xf>
    <xf numFmtId="0" fontId="6" fillId="17" borderId="15" xfId="0" applyFont="1" applyFill="1" applyBorder="1" applyAlignment="1">
      <alignment horizontal="right"/>
    </xf>
    <xf numFmtId="0" fontId="21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7" xfId="0" applyBorder="1" applyAlignment="1">
      <alignment horizontal="left" vertic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49" fontId="1" fillId="21" borderId="1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33" borderId="1" xfId="0" applyFont="1" applyFill="1" applyBorder="1" applyAlignment="1">
      <alignment wrapText="1"/>
    </xf>
    <xf numFmtId="49" fontId="0" fillId="0" borderId="0" xfId="0" applyNumberFormat="1" applyAlignment="1">
      <alignment horizontal="center"/>
    </xf>
    <xf numFmtId="0" fontId="2" fillId="34" borderId="1" xfId="0" applyFont="1" applyFill="1" applyBorder="1" applyAlignment="1">
      <alignment wrapText="1"/>
    </xf>
    <xf numFmtId="0" fontId="2" fillId="34" borderId="1" xfId="0" applyFont="1" applyFill="1" applyBorder="1" applyAlignment="1">
      <alignment horizont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vertical="center" wrapText="1"/>
    </xf>
    <xf numFmtId="0" fontId="2" fillId="34" borderId="5" xfId="0" applyFont="1" applyFill="1" applyBorder="1" applyAlignment="1">
      <alignment wrapText="1"/>
    </xf>
    <xf numFmtId="0" fontId="2" fillId="34" borderId="5" xfId="0" applyFont="1" applyFill="1" applyBorder="1" applyAlignment="1">
      <alignment horizontal="center" wrapText="1"/>
    </xf>
    <xf numFmtId="14" fontId="2" fillId="34" borderId="5" xfId="0" applyNumberFormat="1" applyFont="1" applyFill="1" applyBorder="1" applyAlignment="1">
      <alignment horizontal="center" vertical="center" wrapText="1"/>
    </xf>
    <xf numFmtId="0" fontId="2" fillId="34" borderId="5" xfId="0" applyFont="1" applyFill="1" applyBorder="1" applyAlignment="1">
      <alignment horizontal="left" vertical="center" wrapText="1"/>
    </xf>
    <xf numFmtId="49" fontId="2" fillId="34" borderId="1" xfId="0" applyNumberFormat="1" applyFont="1" applyFill="1" applyBorder="1" applyAlignment="1">
      <alignment horizontal="center" vertical="center" wrapText="1"/>
    </xf>
    <xf numFmtId="0" fontId="2" fillId="34" borderId="6" xfId="0" applyFont="1" applyFill="1" applyBorder="1" applyAlignment="1">
      <alignment wrapText="1"/>
    </xf>
    <xf numFmtId="0" fontId="2" fillId="34" borderId="6" xfId="0" applyFont="1" applyFill="1" applyBorder="1" applyAlignment="1">
      <alignment horizontal="center" wrapText="1"/>
    </xf>
    <xf numFmtId="14" fontId="2" fillId="34" borderId="6" xfId="0" applyNumberFormat="1" applyFont="1" applyFill="1" applyBorder="1" applyAlignment="1">
      <alignment horizontal="center" vertical="center" wrapText="1"/>
    </xf>
    <xf numFmtId="49" fontId="2" fillId="34" borderId="6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49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0" fillId="17" borderId="1" xfId="0" applyFill="1" applyBorder="1" applyAlignment="1">
      <alignment horizontal="center" vertical="center"/>
    </xf>
    <xf numFmtId="0" fontId="2" fillId="17" borderId="6" xfId="0" applyFont="1" applyFill="1" applyBorder="1" applyAlignment="1">
      <alignment wrapText="1"/>
    </xf>
    <xf numFmtId="0" fontId="2" fillId="17" borderId="6" xfId="0" applyFont="1" applyFill="1" applyBorder="1" applyAlignment="1">
      <alignment horizontal="center" wrapText="1"/>
    </xf>
    <xf numFmtId="14" fontId="2" fillId="17" borderId="6" xfId="0" applyNumberFormat="1" applyFont="1" applyFill="1" applyBorder="1" applyAlignment="1">
      <alignment horizontal="center" vertical="center" wrapText="1"/>
    </xf>
    <xf numFmtId="49" fontId="2" fillId="17" borderId="6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34" borderId="5" xfId="0" applyFont="1" applyFill="1" applyBorder="1" applyAlignment="1">
      <alignment horizontal="left" wrapText="1"/>
    </xf>
    <xf numFmtId="0" fontId="2" fillId="17" borderId="1" xfId="0" applyFont="1" applyFill="1" applyBorder="1" applyAlignment="1">
      <alignment horizontal="left" wrapText="1"/>
    </xf>
    <xf numFmtId="0" fontId="2" fillId="17" borderId="6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49" fontId="2" fillId="34" borderId="5" xfId="0" applyNumberFormat="1" applyFont="1" applyFill="1" applyBorder="1" applyAlignment="1">
      <alignment horizontal="center" vertical="center" wrapText="1"/>
    </xf>
    <xf numFmtId="49" fontId="2" fillId="34" borderId="1" xfId="0" applyNumberFormat="1" applyFont="1" applyFill="1" applyBorder="1" applyAlignment="1">
      <alignment horizontal="center" wrapText="1"/>
    </xf>
    <xf numFmtId="0" fontId="2" fillId="34" borderId="6" xfId="0" applyFont="1" applyFill="1" applyBorder="1" applyAlignment="1">
      <alignment horizontal="left" wrapText="1"/>
    </xf>
    <xf numFmtId="0" fontId="2" fillId="34" borderId="6" xfId="0" applyFont="1" applyFill="1" applyBorder="1" applyAlignment="1">
      <alignment horizontal="left" vertical="center" wrapText="1"/>
    </xf>
    <xf numFmtId="0" fontId="0" fillId="20" borderId="44" xfId="0" applyFill="1" applyBorder="1" applyAlignment="1">
      <alignment horizontal="center" vertical="center"/>
    </xf>
    <xf numFmtId="0" fontId="2" fillId="0" borderId="43" xfId="0" applyFont="1" applyBorder="1" applyAlignment="1">
      <alignment wrapText="1"/>
    </xf>
    <xf numFmtId="0" fontId="2" fillId="0" borderId="43" xfId="0" applyFont="1" applyBorder="1" applyAlignment="1">
      <alignment horizontal="left" wrapText="1"/>
    </xf>
    <xf numFmtId="0" fontId="2" fillId="0" borderId="43" xfId="0" applyFont="1" applyBorder="1" applyAlignment="1">
      <alignment horizontal="center" wrapText="1"/>
    </xf>
    <xf numFmtId="49" fontId="2" fillId="0" borderId="43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2" fillId="32" borderId="1" xfId="0" applyFont="1" applyFill="1" applyBorder="1" applyAlignment="1">
      <alignment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17" borderId="4" xfId="0" applyFont="1" applyFill="1" applyBorder="1" applyAlignment="1">
      <alignment horizontal="left" wrapText="1"/>
    </xf>
    <xf numFmtId="14" fontId="2" fillId="17" borderId="7" xfId="0" applyNumberFormat="1" applyFont="1" applyFill="1" applyBorder="1" applyAlignment="1">
      <alignment horizontal="center" vertical="center" wrapText="1"/>
    </xf>
    <xf numFmtId="0" fontId="0" fillId="20" borderId="7" xfId="0" applyFill="1" applyBorder="1" applyAlignment="1">
      <alignment horizontal="center" vertical="center"/>
    </xf>
    <xf numFmtId="0" fontId="2" fillId="17" borderId="6" xfId="0" applyFont="1" applyFill="1" applyBorder="1" applyAlignment="1">
      <alignment horizontal="left" vertical="center" wrapText="1"/>
    </xf>
    <xf numFmtId="0" fontId="0" fillId="20" borderId="0" xfId="0" applyFill="1" applyAlignment="1">
      <alignment horizontal="center" vertical="center"/>
    </xf>
    <xf numFmtId="0" fontId="7" fillId="28" borderId="23" xfId="0" applyFont="1" applyFill="1" applyBorder="1" applyAlignment="1">
      <alignment horizontal="right" vertical="center"/>
    </xf>
    <xf numFmtId="0" fontId="7" fillId="28" borderId="3" xfId="0" applyFont="1" applyFill="1" applyBorder="1" applyAlignment="1">
      <alignment horizontal="right" vertical="center"/>
    </xf>
    <xf numFmtId="0" fontId="4" fillId="26" borderId="33" xfId="0" applyFont="1" applyFill="1" applyBorder="1" applyAlignment="1">
      <alignment vertical="center"/>
    </xf>
    <xf numFmtId="0" fontId="4" fillId="19" borderId="27" xfId="0" applyFont="1" applyFill="1" applyBorder="1" applyAlignment="1">
      <alignment horizontal="center" vertical="center"/>
    </xf>
    <xf numFmtId="0" fontId="4" fillId="19" borderId="27" xfId="0" applyFont="1" applyFill="1" applyBorder="1" applyAlignment="1">
      <alignment horizontal="center" vertical="center" wrapText="1"/>
    </xf>
    <xf numFmtId="0" fontId="4" fillId="17" borderId="27" xfId="0" applyFont="1" applyFill="1" applyBorder="1" applyAlignment="1">
      <alignment horizontal="center" vertical="center"/>
    </xf>
    <xf numFmtId="0" fontId="4" fillId="17" borderId="27" xfId="0" applyFont="1" applyFill="1" applyBorder="1" applyAlignment="1">
      <alignment horizontal="center" vertical="center" wrapText="1"/>
    </xf>
    <xf numFmtId="0" fontId="4" fillId="17" borderId="36" xfId="0" applyFont="1" applyFill="1" applyBorder="1" applyAlignment="1">
      <alignment horizontal="center" vertical="center"/>
    </xf>
    <xf numFmtId="0" fontId="4" fillId="19" borderId="30" xfId="0" applyFont="1" applyFill="1" applyBorder="1" applyAlignment="1">
      <alignment horizontal="center" vertical="center" wrapText="1"/>
    </xf>
    <xf numFmtId="0" fontId="4" fillId="19" borderId="0" xfId="0" applyFont="1" applyFill="1" applyAlignment="1">
      <alignment horizontal="center" vertical="center"/>
    </xf>
    <xf numFmtId="0" fontId="11" fillId="13" borderId="13" xfId="0" applyFont="1" applyFill="1" applyBorder="1" applyAlignment="1">
      <alignment horizontal="right" vertical="center"/>
    </xf>
    <xf numFmtId="0" fontId="15" fillId="28" borderId="15" xfId="0" applyFont="1" applyFill="1" applyBorder="1" applyAlignment="1">
      <alignment horizontal="right" vertical="center"/>
    </xf>
    <xf numFmtId="0" fontId="4" fillId="26" borderId="36" xfId="0" applyFont="1" applyFill="1" applyBorder="1" applyAlignment="1">
      <alignment vertical="center"/>
    </xf>
    <xf numFmtId="0" fontId="6" fillId="27" borderId="13" xfId="0" applyFont="1" applyFill="1" applyBorder="1" applyAlignment="1">
      <alignment horizontal="right" vertical="center"/>
    </xf>
    <xf numFmtId="0" fontId="10" fillId="17" borderId="25" xfId="0" applyFont="1" applyFill="1" applyBorder="1" applyAlignment="1">
      <alignment horizontal="right" vertical="center"/>
    </xf>
    <xf numFmtId="0" fontId="22" fillId="27" borderId="16" xfId="0" applyFont="1" applyFill="1" applyBorder="1" applyAlignment="1">
      <alignment horizontal="right" vertical="center"/>
    </xf>
    <xf numFmtId="0" fontId="10" fillId="17" borderId="28" xfId="0" applyFont="1" applyFill="1" applyBorder="1" applyAlignment="1">
      <alignment horizontal="right" vertical="center"/>
    </xf>
    <xf numFmtId="0" fontId="10" fillId="17" borderId="26" xfId="0" applyFont="1" applyFill="1" applyBorder="1" applyAlignment="1">
      <alignment horizontal="right" vertical="center"/>
    </xf>
    <xf numFmtId="0" fontId="6" fillId="27" borderId="15" xfId="0" applyFont="1" applyFill="1" applyBorder="1" applyAlignment="1">
      <alignment vertical="center"/>
    </xf>
    <xf numFmtId="0" fontId="4" fillId="26" borderId="34" xfId="0" applyFont="1" applyFill="1" applyBorder="1" applyAlignment="1">
      <alignment vertical="center"/>
    </xf>
    <xf numFmtId="0" fontId="9" fillId="28" borderId="17" xfId="0" applyFont="1" applyFill="1" applyBorder="1" applyAlignment="1">
      <alignment horizontal="right" vertical="center"/>
    </xf>
    <xf numFmtId="0" fontId="15" fillId="28" borderId="15" xfId="0" applyFont="1" applyFill="1" applyBorder="1" applyAlignment="1">
      <alignment horizontal="right" vertical="center" wrapText="1"/>
    </xf>
    <xf numFmtId="0" fontId="11" fillId="0" borderId="29" xfId="0" applyFont="1" applyBorder="1" applyAlignment="1">
      <alignment horizontal="right" vertical="center"/>
    </xf>
    <xf numFmtId="0" fontId="15" fillId="28" borderId="20" xfId="0" applyFont="1" applyFill="1" applyBorder="1" applyAlignment="1">
      <alignment horizontal="right" vertical="center" wrapText="1"/>
    </xf>
    <xf numFmtId="0" fontId="4" fillId="26" borderId="30" xfId="0" applyFont="1" applyFill="1" applyBorder="1" applyAlignment="1">
      <alignment vertical="center"/>
    </xf>
    <xf numFmtId="0" fontId="7" fillId="28" borderId="14" xfId="0" applyFont="1" applyFill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/>
    </xf>
    <xf numFmtId="0" fontId="11" fillId="27" borderId="25" xfId="0" applyFont="1" applyFill="1" applyBorder="1" applyAlignment="1">
      <alignment horizontal="right" vertical="center"/>
    </xf>
    <xf numFmtId="0" fontId="7" fillId="28" borderId="29" xfId="0" applyFont="1" applyFill="1" applyBorder="1" applyAlignment="1">
      <alignment horizontal="right" vertical="center" wrapText="1"/>
    </xf>
    <xf numFmtId="0" fontId="11" fillId="17" borderId="13" xfId="0" applyFont="1" applyFill="1" applyBorder="1" applyAlignment="1">
      <alignment horizontal="right" vertical="center" wrapText="1"/>
    </xf>
    <xf numFmtId="0" fontId="5" fillId="0" borderId="45" xfId="0" applyFont="1" applyBorder="1" applyAlignment="1">
      <alignment horizontal="right" vertical="center"/>
    </xf>
    <xf numFmtId="0" fontId="6" fillId="27" borderId="36" xfId="0" applyFont="1" applyFill="1" applyBorder="1" applyAlignment="1">
      <alignment vertical="center"/>
    </xf>
    <xf numFmtId="0" fontId="11" fillId="0" borderId="30" xfId="0" applyFont="1" applyBorder="1" applyAlignment="1">
      <alignment horizontal="right" vertical="center" wrapText="1"/>
    </xf>
    <xf numFmtId="0" fontId="10" fillId="17" borderId="14" xfId="0" applyFont="1" applyFill="1" applyBorder="1" applyAlignment="1">
      <alignment horizontal="right" vertical="center"/>
    </xf>
    <xf numFmtId="0" fontId="18" fillId="17" borderId="14" xfId="0" applyFont="1" applyFill="1" applyBorder="1" applyAlignment="1">
      <alignment horizontal="right" vertical="center"/>
    </xf>
    <xf numFmtId="0" fontId="25" fillId="17" borderId="15" xfId="0" applyFont="1" applyFill="1" applyBorder="1" applyAlignment="1">
      <alignment horizontal="right" vertical="center"/>
    </xf>
    <xf numFmtId="0" fontId="6" fillId="27" borderId="35" xfId="0" applyFont="1" applyFill="1" applyBorder="1" applyAlignment="1">
      <alignment vertical="center"/>
    </xf>
    <xf numFmtId="0" fontId="4" fillId="26" borderId="48" xfId="0" applyFont="1" applyFill="1" applyBorder="1" applyAlignment="1">
      <alignment vertical="center"/>
    </xf>
    <xf numFmtId="0" fontId="4" fillId="26" borderId="47" xfId="0" applyFont="1" applyFill="1" applyBorder="1" applyAlignment="1">
      <alignment vertical="center"/>
    </xf>
    <xf numFmtId="0" fontId="9" fillId="28" borderId="46" xfId="0" applyFont="1" applyFill="1" applyBorder="1" applyAlignment="1">
      <alignment horizontal="right" vertical="center"/>
    </xf>
    <xf numFmtId="0" fontId="7" fillId="28" borderId="46" xfId="0" applyFont="1" applyFill="1" applyBorder="1" applyAlignment="1">
      <alignment horizontal="right" vertical="center"/>
    </xf>
    <xf numFmtId="0" fontId="7" fillId="28" borderId="39" xfId="0" applyFont="1" applyFill="1" applyBorder="1" applyAlignment="1">
      <alignment horizontal="right" vertical="center"/>
    </xf>
    <xf numFmtId="0" fontId="11" fillId="17" borderId="25" xfId="0" applyFont="1" applyFill="1" applyBorder="1" applyAlignment="1">
      <alignment horizontal="right" vertical="center"/>
    </xf>
    <xf numFmtId="0" fontId="22" fillId="17" borderId="13" xfId="0" applyFont="1" applyFill="1" applyBorder="1" applyAlignment="1">
      <alignment horizontal="right" vertical="center"/>
    </xf>
    <xf numFmtId="0" fontId="12" fillId="28" borderId="23" xfId="0" applyFont="1" applyFill="1" applyBorder="1" applyAlignment="1">
      <alignment horizontal="right" vertical="center"/>
    </xf>
    <xf numFmtId="0" fontId="12" fillId="28" borderId="18" xfId="0" applyFont="1" applyFill="1" applyBorder="1" applyAlignment="1">
      <alignment horizontal="right" vertical="center" wrapText="1"/>
    </xf>
    <xf numFmtId="0" fontId="11" fillId="0" borderId="40" xfId="0" applyFont="1" applyBorder="1" applyAlignment="1">
      <alignment horizontal="right" vertical="center"/>
    </xf>
    <xf numFmtId="0" fontId="12" fillId="28" borderId="31" xfId="0" applyFont="1" applyFill="1" applyBorder="1" applyAlignment="1">
      <alignment horizontal="right" vertical="center" wrapText="1"/>
    </xf>
    <xf numFmtId="0" fontId="15" fillId="28" borderId="1" xfId="0" applyFont="1" applyFill="1" applyBorder="1" applyAlignment="1">
      <alignment horizontal="right" vertical="center" wrapText="1"/>
    </xf>
    <xf numFmtId="49" fontId="2" fillId="34" borderId="1" xfId="0" applyNumberFormat="1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>
      <alignment horizontal="center" vertical="center"/>
    </xf>
    <xf numFmtId="165" fontId="2" fillId="34" borderId="1" xfId="0" applyNumberFormat="1" applyFont="1" applyFill="1" applyBorder="1" applyAlignment="1">
      <alignment horizontal="center" vertical="center"/>
    </xf>
    <xf numFmtId="165" fontId="2" fillId="34" borderId="0" xfId="0" applyNumberFormat="1" applyFont="1" applyFill="1" applyAlignment="1">
      <alignment horizontal="center" vertical="center"/>
    </xf>
    <xf numFmtId="0" fontId="2" fillId="34" borderId="5" xfId="0" applyFont="1" applyFill="1" applyBorder="1" applyAlignment="1">
      <alignment horizontal="left"/>
    </xf>
    <xf numFmtId="0" fontId="2" fillId="34" borderId="5" xfId="0" applyFont="1" applyFill="1" applyBorder="1" applyAlignment="1">
      <alignment horizontal="center" vertical="center"/>
    </xf>
    <xf numFmtId="165" fontId="2" fillId="34" borderId="5" xfId="0" applyNumberFormat="1" applyFont="1" applyFill="1" applyBorder="1" applyAlignment="1">
      <alignment horizontal="center"/>
    </xf>
    <xf numFmtId="0" fontId="2" fillId="34" borderId="5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0" fontId="2" fillId="34" borderId="1" xfId="0" applyFont="1" applyFill="1" applyBorder="1" applyAlignment="1">
      <alignment horizontal="left"/>
    </xf>
    <xf numFmtId="165" fontId="2" fillId="34" borderId="1" xfId="0" applyNumberFormat="1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0" fontId="2" fillId="2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4" borderId="6" xfId="0" applyFont="1" applyFill="1" applyBorder="1" applyAlignment="1">
      <alignment horizontal="left"/>
    </xf>
    <xf numFmtId="0" fontId="2" fillId="34" borderId="6" xfId="0" applyFont="1" applyFill="1" applyBorder="1" applyAlignment="1">
      <alignment horizontal="center" vertical="center"/>
    </xf>
    <xf numFmtId="165" fontId="2" fillId="34" borderId="6" xfId="0" applyNumberFormat="1" applyFont="1" applyFill="1" applyBorder="1" applyAlignment="1">
      <alignment horizontal="center"/>
    </xf>
    <xf numFmtId="0" fontId="2" fillId="34" borderId="6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165" fontId="2" fillId="17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1" fillId="0" borderId="24" xfId="0" applyFont="1" applyBorder="1" applyAlignment="1">
      <alignment horizontal="right" vertical="center"/>
    </xf>
    <xf numFmtId="0" fontId="12" fillId="28" borderId="29" xfId="0" applyFont="1" applyFill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24" fillId="17" borderId="14" xfId="0" applyFont="1" applyFill="1" applyBorder="1" applyAlignment="1">
      <alignment horizontal="right"/>
    </xf>
    <xf numFmtId="166" fontId="0" fillId="0" borderId="0" xfId="1" applyNumberFormat="1" applyFont="1"/>
    <xf numFmtId="166" fontId="0" fillId="0" borderId="0" xfId="0" applyNumberFormat="1"/>
    <xf numFmtId="0" fontId="12" fillId="28" borderId="39" xfId="0" applyFont="1" applyFill="1" applyBorder="1" applyAlignment="1">
      <alignment horizontal="right" vertical="center"/>
    </xf>
    <xf numFmtId="0" fontId="7" fillId="28" borderId="34" xfId="0" applyFont="1" applyFill="1" applyBorder="1" applyAlignment="1">
      <alignment horizontal="right" vertical="center"/>
    </xf>
    <xf numFmtId="0" fontId="12" fillId="28" borderId="34" xfId="0" applyFont="1" applyFill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11" fillId="0" borderId="23" xfId="0" applyFont="1" applyBorder="1" applyAlignment="1">
      <alignment horizontal="right" vertical="center"/>
    </xf>
    <xf numFmtId="0" fontId="10" fillId="17" borderId="15" xfId="0" applyFont="1" applyFill="1" applyBorder="1" applyAlignment="1">
      <alignment horizontal="right" vertical="center"/>
    </xf>
    <xf numFmtId="0" fontId="4" fillId="35" borderId="22" xfId="0" applyFont="1" applyFill="1" applyBorder="1" applyAlignment="1">
      <alignment vertical="center"/>
    </xf>
    <xf numFmtId="0" fontId="4" fillId="35" borderId="35" xfId="0" applyFont="1" applyFill="1" applyBorder="1" applyAlignment="1">
      <alignment vertical="center"/>
    </xf>
    <xf numFmtId="0" fontId="3" fillId="35" borderId="22" xfId="0" applyFont="1" applyFill="1" applyBorder="1" applyAlignment="1">
      <alignment horizontal="left" vertical="center" wrapText="1"/>
    </xf>
    <xf numFmtId="0" fontId="3" fillId="35" borderId="30" xfId="0" applyFont="1" applyFill="1" applyBorder="1" applyAlignment="1">
      <alignment horizontal="left" vertical="center" wrapText="1"/>
    </xf>
    <xf numFmtId="0" fontId="3" fillId="35" borderId="48" xfId="0" applyFont="1" applyFill="1" applyBorder="1" applyAlignment="1">
      <alignment horizontal="left" vertical="center" wrapText="1"/>
    </xf>
    <xf numFmtId="0" fontId="3" fillId="35" borderId="33" xfId="0" applyFont="1" applyFill="1" applyBorder="1" applyAlignment="1">
      <alignment horizontal="left" vertical="center" wrapText="1"/>
    </xf>
    <xf numFmtId="0" fontId="3" fillId="35" borderId="25" xfId="0" applyFont="1" applyFill="1" applyBorder="1" applyAlignment="1">
      <alignment horizontal="left" vertical="center" wrapText="1"/>
    </xf>
    <xf numFmtId="0" fontId="3" fillId="35" borderId="37" xfId="0" applyFont="1" applyFill="1" applyBorder="1" applyAlignment="1">
      <alignment horizontal="left" vertical="center" wrapText="1"/>
    </xf>
    <xf numFmtId="0" fontId="6" fillId="27" borderId="13" xfId="0" applyFont="1" applyFill="1" applyBorder="1" applyAlignment="1">
      <alignment vertical="center"/>
    </xf>
    <xf numFmtId="0" fontId="5" fillId="27" borderId="24" xfId="0" applyFont="1" applyFill="1" applyBorder="1" applyAlignment="1">
      <alignment vertical="center"/>
    </xf>
    <xf numFmtId="0" fontId="4" fillId="26" borderId="38" xfId="0" applyFont="1" applyFill="1" applyBorder="1" applyAlignment="1">
      <alignment vertical="center"/>
    </xf>
    <xf numFmtId="0" fontId="4" fillId="26" borderId="37" xfId="0" applyFont="1" applyFill="1" applyBorder="1" applyAlignment="1">
      <alignment vertical="center"/>
    </xf>
    <xf numFmtId="0" fontId="4" fillId="26" borderId="20" xfId="0" applyFont="1" applyFill="1" applyBorder="1" applyAlignment="1">
      <alignment vertical="center"/>
    </xf>
    <xf numFmtId="0" fontId="11" fillId="0" borderId="28" xfId="0" applyFont="1" applyBorder="1" applyAlignment="1">
      <alignment horizontal="right" vertical="center" wrapText="1"/>
    </xf>
    <xf numFmtId="0" fontId="11" fillId="27" borderId="30" xfId="0" applyFont="1" applyFill="1" applyBorder="1" applyAlignment="1">
      <alignment horizontal="left" vertical="center"/>
    </xf>
    <xf numFmtId="0" fontId="6" fillId="27" borderId="23" xfId="0" applyFont="1" applyFill="1" applyBorder="1" applyAlignment="1">
      <alignment horizontal="left" vertical="center"/>
    </xf>
    <xf numFmtId="0" fontId="11" fillId="0" borderId="49" xfId="0" applyFont="1" applyBorder="1" applyAlignment="1">
      <alignment horizontal="right" vertical="center"/>
    </xf>
    <xf numFmtId="0" fontId="9" fillId="28" borderId="23" xfId="0" applyFont="1" applyFill="1" applyBorder="1" applyAlignment="1">
      <alignment horizontal="right" vertical="center"/>
    </xf>
    <xf numFmtId="0" fontId="15" fillId="28" borderId="13" xfId="0" applyFont="1" applyFill="1" applyBorder="1" applyAlignment="1">
      <alignment horizontal="right" vertical="center"/>
    </xf>
    <xf numFmtId="0" fontId="3" fillId="35" borderId="47" xfId="0" applyFont="1" applyFill="1" applyBorder="1" applyAlignment="1">
      <alignment horizontal="left" vertical="center" wrapText="1"/>
    </xf>
    <xf numFmtId="0" fontId="11" fillId="13" borderId="49" xfId="0" applyFont="1" applyFill="1" applyBorder="1" applyAlignment="1">
      <alignment horizontal="right" vertical="center"/>
    </xf>
    <xf numFmtId="0" fontId="11" fillId="13" borderId="29" xfId="0" applyFont="1" applyFill="1" applyBorder="1" applyAlignment="1">
      <alignment horizontal="right" vertical="center"/>
    </xf>
    <xf numFmtId="0" fontId="15" fillId="28" borderId="29" xfId="0" applyFont="1" applyFill="1" applyBorder="1" applyAlignment="1">
      <alignment horizontal="right" vertical="center"/>
    </xf>
    <xf numFmtId="0" fontId="11" fillId="27" borderId="13" xfId="0" applyFont="1" applyFill="1" applyBorder="1" applyAlignment="1">
      <alignment horizontal="right" vertical="center"/>
    </xf>
    <xf numFmtId="0" fontId="15" fillId="28" borderId="22" xfId="0" applyFont="1" applyFill="1" applyBorder="1" applyAlignment="1">
      <alignment horizontal="right" vertical="center"/>
    </xf>
    <xf numFmtId="0" fontId="15" fillId="28" borderId="39" xfId="0" applyFont="1" applyFill="1" applyBorder="1" applyAlignment="1">
      <alignment horizontal="right" vertical="center"/>
    </xf>
    <xf numFmtId="0" fontId="11" fillId="13" borderId="22" xfId="0" applyFont="1" applyFill="1" applyBorder="1" applyAlignment="1">
      <alignment horizontal="right" vertical="center"/>
    </xf>
    <xf numFmtId="0" fontId="6" fillId="27" borderId="18" xfId="0" applyFont="1" applyFill="1" applyBorder="1" applyAlignment="1">
      <alignment vertical="center"/>
    </xf>
    <xf numFmtId="0" fontId="4" fillId="26" borderId="33" xfId="0" applyFont="1" applyFill="1" applyBorder="1"/>
    <xf numFmtId="0" fontId="7" fillId="28" borderId="23" xfId="0" applyFont="1" applyFill="1" applyBorder="1" applyAlignment="1">
      <alignment horizontal="right" vertical="top"/>
    </xf>
    <xf numFmtId="0" fontId="7" fillId="28" borderId="15" xfId="0" applyFont="1" applyFill="1" applyBorder="1" applyAlignment="1">
      <alignment horizontal="right" vertical="top"/>
    </xf>
    <xf numFmtId="0" fontId="4" fillId="35" borderId="47" xfId="0" applyFont="1" applyFill="1" applyBorder="1" applyAlignment="1">
      <alignment vertical="center"/>
    </xf>
    <xf numFmtId="0" fontId="0" fillId="0" borderId="1" xfId="0" applyBorder="1"/>
    <xf numFmtId="0" fontId="3" fillId="35" borderId="1" xfId="0" applyFont="1" applyFill="1" applyBorder="1" applyAlignment="1">
      <alignment horizontal="left" vertical="center" wrapText="1"/>
    </xf>
    <xf numFmtId="0" fontId="6" fillId="27" borderId="1" xfId="0" applyFont="1" applyFill="1" applyBorder="1" applyAlignment="1">
      <alignment vertical="center"/>
    </xf>
    <xf numFmtId="0" fontId="4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horizontal="left" vertical="center"/>
    </xf>
    <xf numFmtId="0" fontId="6" fillId="27" borderId="7" xfId="0" applyFont="1" applyFill="1" applyBorder="1" applyAlignment="1">
      <alignment vertical="center"/>
    </xf>
    <xf numFmtId="0" fontId="36" fillId="28" borderId="19" xfId="0" applyFont="1" applyFill="1" applyBorder="1" applyAlignment="1">
      <alignment horizontal="right" vertical="center"/>
    </xf>
    <xf numFmtId="0" fontId="5" fillId="17" borderId="17" xfId="0" applyFont="1" applyFill="1" applyBorder="1" applyAlignment="1">
      <alignment horizontal="center"/>
    </xf>
    <xf numFmtId="0" fontId="5" fillId="17" borderId="18" xfId="0" applyFont="1" applyFill="1" applyBorder="1" applyAlignment="1">
      <alignment horizontal="center"/>
    </xf>
    <xf numFmtId="0" fontId="6" fillId="27" borderId="4" xfId="0" applyFont="1" applyFill="1" applyBorder="1" applyAlignment="1">
      <alignment vertical="center"/>
    </xf>
    <xf numFmtId="0" fontId="4" fillId="26" borderId="4" xfId="0" applyFont="1" applyFill="1" applyBorder="1" applyAlignment="1">
      <alignment vertical="center"/>
    </xf>
    <xf numFmtId="0" fontId="4" fillId="26" borderId="12" xfId="0" applyFont="1" applyFill="1" applyBorder="1" applyAlignment="1">
      <alignment vertical="center"/>
    </xf>
    <xf numFmtId="0" fontId="4" fillId="26" borderId="6" xfId="0" applyFont="1" applyFill="1" applyBorder="1" applyAlignment="1">
      <alignment vertical="center"/>
    </xf>
    <xf numFmtId="0" fontId="3" fillId="35" borderId="4" xfId="0" applyFont="1" applyFill="1" applyBorder="1" applyAlignment="1">
      <alignment horizontal="left" vertical="center" wrapText="1"/>
    </xf>
    <xf numFmtId="49" fontId="1" fillId="32" borderId="19" xfId="0" applyNumberFormat="1" applyFont="1" applyFill="1" applyBorder="1" applyAlignment="1">
      <alignment horizontal="center"/>
    </xf>
    <xf numFmtId="0" fontId="3" fillId="17" borderId="21" xfId="0" applyFont="1" applyFill="1" applyBorder="1"/>
    <xf numFmtId="0" fontId="4" fillId="19" borderId="50" xfId="0" applyFont="1" applyFill="1" applyBorder="1" applyAlignment="1">
      <alignment horizontal="center" vertical="center"/>
    </xf>
    <xf numFmtId="0" fontId="4" fillId="13" borderId="50" xfId="0" applyFont="1" applyFill="1" applyBorder="1" applyAlignment="1">
      <alignment horizontal="center" vertical="center"/>
    </xf>
    <xf numFmtId="0" fontId="4" fillId="19" borderId="51" xfId="0" applyFont="1" applyFill="1" applyBorder="1" applyAlignment="1">
      <alignment horizontal="center" vertical="center"/>
    </xf>
    <xf numFmtId="0" fontId="4" fillId="13" borderId="50" xfId="0" applyFont="1" applyFill="1" applyBorder="1" applyAlignment="1">
      <alignment horizontal="center" vertical="center" wrapText="1"/>
    </xf>
    <xf numFmtId="0" fontId="4" fillId="19" borderId="50" xfId="0" applyFont="1" applyFill="1" applyBorder="1" applyAlignment="1">
      <alignment horizontal="center" vertical="center" wrapText="1"/>
    </xf>
    <xf numFmtId="0" fontId="4" fillId="17" borderId="32" xfId="0" applyFont="1" applyFill="1" applyBorder="1" applyAlignment="1">
      <alignment horizontal="center" vertical="center"/>
    </xf>
    <xf numFmtId="0" fontId="4" fillId="17" borderId="50" xfId="0" applyFont="1" applyFill="1" applyBorder="1" applyAlignment="1">
      <alignment horizontal="center" vertical="center"/>
    </xf>
    <xf numFmtId="0" fontId="4" fillId="19" borderId="32" xfId="0" applyFont="1" applyFill="1" applyBorder="1" applyAlignment="1">
      <alignment horizontal="center" vertical="center"/>
    </xf>
    <xf numFmtId="0" fontId="4" fillId="17" borderId="51" xfId="0" applyFont="1" applyFill="1" applyBorder="1" applyAlignment="1">
      <alignment horizontal="center" vertical="center"/>
    </xf>
    <xf numFmtId="0" fontId="4" fillId="17" borderId="50" xfId="0" applyFont="1" applyFill="1" applyBorder="1" applyAlignment="1">
      <alignment horizontal="center" vertical="center" wrapText="1"/>
    </xf>
    <xf numFmtId="49" fontId="1" fillId="32" borderId="27" xfId="0" applyNumberFormat="1" applyFont="1" applyFill="1" applyBorder="1" applyAlignment="1">
      <alignment horizontal="right"/>
    </xf>
    <xf numFmtId="49" fontId="1" fillId="32" borderId="23" xfId="0" applyNumberFormat="1" applyFont="1" applyFill="1" applyBorder="1" applyAlignment="1">
      <alignment horizontal="center"/>
    </xf>
    <xf numFmtId="0" fontId="32" fillId="0" borderId="20" xfId="0" applyFont="1" applyBorder="1" applyAlignment="1">
      <alignment vertical="center"/>
    </xf>
    <xf numFmtId="0" fontId="4" fillId="26" borderId="12" xfId="0" applyFont="1" applyFill="1" applyBorder="1"/>
    <xf numFmtId="0" fontId="4" fillId="26" borderId="7" xfId="0" applyFont="1" applyFill="1" applyBorder="1" applyAlignment="1">
      <alignment horizontal="left" vertical="center" wrapText="1"/>
    </xf>
    <xf numFmtId="0" fontId="3" fillId="35" borderId="0" xfId="0" applyFont="1" applyFill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4" fillId="26" borderId="1" xfId="0" applyFont="1" applyFill="1" applyBorder="1"/>
    <xf numFmtId="0" fontId="4" fillId="26" borderId="2" xfId="0" applyFont="1" applyFill="1" applyBorder="1"/>
    <xf numFmtId="0" fontId="4" fillId="17" borderId="52" xfId="0" applyFont="1" applyFill="1" applyBorder="1" applyAlignment="1">
      <alignment horizontal="center" vertical="center"/>
    </xf>
    <xf numFmtId="0" fontId="6" fillId="27" borderId="11" xfId="0" applyFont="1" applyFill="1" applyBorder="1" applyAlignment="1">
      <alignment vertical="center"/>
    </xf>
    <xf numFmtId="0" fontId="6" fillId="27" borderId="6" xfId="0" applyFont="1" applyFill="1" applyBorder="1" applyAlignment="1">
      <alignment vertical="center"/>
    </xf>
    <xf numFmtId="0" fontId="12" fillId="0" borderId="4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3" fillId="35" borderId="1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/>
    </xf>
    <xf numFmtId="0" fontId="3" fillId="35" borderId="43" xfId="0" applyFont="1" applyFill="1" applyBorder="1" applyAlignment="1">
      <alignment horizontal="left" vertical="center" wrapText="1"/>
    </xf>
    <xf numFmtId="0" fontId="53" fillId="0" borderId="53" xfId="2" applyFont="1" applyBorder="1" applyAlignment="1">
      <alignment horizontal="right"/>
    </xf>
    <xf numFmtId="0" fontId="53" fillId="0" borderId="54" xfId="2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9" fillId="0" borderId="1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52" fillId="0" borderId="4" xfId="0" applyFont="1" applyBorder="1" applyAlignment="1">
      <alignment horizontal="right" vertical="center"/>
    </xf>
    <xf numFmtId="0" fontId="52" fillId="0" borderId="1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54" fillId="0" borderId="1" xfId="0" applyFont="1" applyBorder="1" applyAlignment="1">
      <alignment horizontal="right"/>
    </xf>
    <xf numFmtId="0" fontId="49" fillId="0" borderId="1" xfId="0" applyFont="1" applyBorder="1" applyAlignment="1">
      <alignment vertical="center"/>
    </xf>
    <xf numFmtId="0" fontId="54" fillId="0" borderId="1" xfId="0" applyFont="1" applyBorder="1" applyAlignment="1">
      <alignment horizontal="right" vertical="center"/>
    </xf>
    <xf numFmtId="0" fontId="49" fillId="0" borderId="1" xfId="0" applyFont="1" applyBorder="1" applyAlignment="1">
      <alignment horizontal="left"/>
    </xf>
    <xf numFmtId="0" fontId="3" fillId="26" borderId="4" xfId="0" applyFont="1" applyFill="1" applyBorder="1" applyAlignment="1">
      <alignment vertical="center"/>
    </xf>
    <xf numFmtId="0" fontId="3" fillId="26" borderId="7" xfId="0" applyFont="1" applyFill="1" applyBorder="1" applyAlignment="1">
      <alignment vertical="center"/>
    </xf>
    <xf numFmtId="0" fontId="3" fillId="26" borderId="1" xfId="0" applyFont="1" applyFill="1" applyBorder="1" applyAlignment="1">
      <alignment vertical="center"/>
    </xf>
    <xf numFmtId="0" fontId="3" fillId="26" borderId="12" xfId="0" applyFont="1" applyFill="1" applyBorder="1" applyAlignment="1">
      <alignment vertical="center"/>
    </xf>
    <xf numFmtId="0" fontId="7" fillId="36" borderId="11" xfId="0" applyFont="1" applyFill="1" applyBorder="1" applyAlignment="1">
      <alignment horizontal="right" vertical="center"/>
    </xf>
    <xf numFmtId="0" fontId="29" fillId="0" borderId="0" xfId="0" applyFont="1"/>
    <xf numFmtId="9" fontId="49" fillId="0" borderId="0" xfId="0" applyNumberFormat="1" applyFont="1"/>
    <xf numFmtId="0" fontId="7" fillId="0" borderId="11" xfId="0" applyFont="1" applyBorder="1" applyAlignment="1">
      <alignment horizontal="right" vertical="center"/>
    </xf>
    <xf numFmtId="0" fontId="11" fillId="17" borderId="1" xfId="0" applyFont="1" applyFill="1" applyBorder="1" applyAlignment="1">
      <alignment vertical="center"/>
    </xf>
    <xf numFmtId="0" fontId="4" fillId="19" borderId="55" xfId="0" applyFont="1" applyFill="1" applyBorder="1" applyAlignment="1">
      <alignment horizontal="center" vertical="center"/>
    </xf>
    <xf numFmtId="0" fontId="11" fillId="17" borderId="5" xfId="0" applyFont="1" applyFill="1" applyBorder="1" applyAlignment="1">
      <alignment vertical="center"/>
    </xf>
    <xf numFmtId="0" fontId="52" fillId="0" borderId="26" xfId="0" applyFont="1" applyBorder="1" applyAlignment="1">
      <alignment horizontal="right" vertical="center"/>
    </xf>
    <xf numFmtId="0" fontId="12" fillId="0" borderId="26" xfId="0" applyFont="1" applyBorder="1" applyAlignment="1">
      <alignment horizontal="right" vertical="center"/>
    </xf>
    <xf numFmtId="0" fontId="34" fillId="17" borderId="4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left" vertical="center"/>
    </xf>
    <xf numFmtId="0" fontId="4" fillId="19" borderId="56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7" fillId="0" borderId="44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55" fillId="0" borderId="1" xfId="0" applyFont="1" applyBorder="1" applyAlignment="1">
      <alignment horizontal="right"/>
    </xf>
    <xf numFmtId="0" fontId="0" fillId="0" borderId="43" xfId="0" applyBorder="1" applyAlignment="1">
      <alignment vertical="center"/>
    </xf>
    <xf numFmtId="0" fontId="4" fillId="26" borderId="1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4" fillId="13" borderId="52" xfId="0" applyFont="1" applyFill="1" applyBorder="1" applyAlignment="1">
      <alignment horizontal="center" vertical="center"/>
    </xf>
    <xf numFmtId="0" fontId="0" fillId="0" borderId="6" xfId="0" applyBorder="1"/>
    <xf numFmtId="0" fontId="55" fillId="0" borderId="1" xfId="0" applyFont="1" applyBorder="1"/>
    <xf numFmtId="0" fontId="3" fillId="26" borderId="42" xfId="0" applyFont="1" applyFill="1" applyBorder="1" applyAlignment="1">
      <alignment vertical="center"/>
    </xf>
    <xf numFmtId="0" fontId="3" fillId="35" borderId="8" xfId="0" applyFont="1" applyFill="1" applyBorder="1" applyAlignment="1">
      <alignment horizontal="left" vertical="center" wrapText="1"/>
    </xf>
    <xf numFmtId="0" fontId="0" fillId="0" borderId="4" xfId="0" applyBorder="1"/>
    <xf numFmtId="0" fontId="3" fillId="26" borderId="5" xfId="0" applyFont="1" applyFill="1" applyBorder="1" applyAlignment="1">
      <alignment vertical="center"/>
    </xf>
    <xf numFmtId="0" fontId="11" fillId="0" borderId="4" xfId="0" applyFont="1" applyBorder="1" applyAlignment="1">
      <alignment horizontal="left" vertical="center" wrapText="1"/>
    </xf>
    <xf numFmtId="0" fontId="0" fillId="0" borderId="11" xfId="0" applyBorder="1"/>
    <xf numFmtId="0" fontId="6" fillId="27" borderId="6" xfId="0" applyFont="1" applyFill="1" applyBorder="1" applyAlignment="1">
      <alignment horizontal="center" vertical="center"/>
    </xf>
    <xf numFmtId="0" fontId="11" fillId="0" borderId="28" xfId="0" applyFont="1" applyBorder="1" applyAlignment="1">
      <alignment vertical="center" wrapText="1"/>
    </xf>
    <xf numFmtId="0" fontId="55" fillId="0" borderId="4" xfId="0" applyFont="1" applyBorder="1" applyAlignment="1">
      <alignment horizontal="right"/>
    </xf>
    <xf numFmtId="0" fontId="52" fillId="0" borderId="0" xfId="0" applyFont="1" applyAlignment="1">
      <alignment horizontal="right" vertical="center"/>
    </xf>
    <xf numFmtId="0" fontId="12" fillId="0" borderId="7" xfId="0" applyFont="1" applyBorder="1" applyAlignment="1">
      <alignment horizontal="right" vertical="center"/>
    </xf>
    <xf numFmtId="0" fontId="54" fillId="0" borderId="4" xfId="0" applyFont="1" applyBorder="1" applyAlignment="1">
      <alignment horizontal="right" vertical="top"/>
    </xf>
    <xf numFmtId="0" fontId="4" fillId="26" borderId="4" xfId="0" applyFont="1" applyFill="1" applyBorder="1"/>
    <xf numFmtId="0" fontId="4" fillId="19" borderId="52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3" fillId="26" borderId="26" xfId="0" applyFont="1" applyFill="1" applyBorder="1" applyAlignment="1">
      <alignment vertical="center"/>
    </xf>
    <xf numFmtId="0" fontId="49" fillId="0" borderId="26" xfId="0" applyFont="1" applyBorder="1" applyAlignment="1">
      <alignment horizontal="left"/>
    </xf>
    <xf numFmtId="0" fontId="6" fillId="27" borderId="26" xfId="0" applyFont="1" applyFill="1" applyBorder="1" applyAlignment="1">
      <alignment vertical="center"/>
    </xf>
    <xf numFmtId="0" fontId="4" fillId="26" borderId="0" xfId="0" applyFont="1" applyFill="1"/>
    <xf numFmtId="0" fontId="11" fillId="13" borderId="7" xfId="0" applyFont="1" applyFill="1" applyBorder="1" applyAlignment="1">
      <alignment horizontal="left" vertical="center"/>
    </xf>
    <xf numFmtId="0" fontId="6" fillId="27" borderId="12" xfId="0" applyFont="1" applyFill="1" applyBorder="1" applyAlignment="1">
      <alignment horizontal="center" vertical="center"/>
    </xf>
    <xf numFmtId="0" fontId="4" fillId="26" borderId="7" xfId="0" applyFont="1" applyFill="1" applyBorder="1" applyAlignment="1">
      <alignment vertical="center"/>
    </xf>
    <xf numFmtId="0" fontId="4" fillId="26" borderId="0" xfId="0" applyFont="1" applyFill="1" applyAlignment="1">
      <alignment vertical="center"/>
    </xf>
    <xf numFmtId="0" fontId="3" fillId="35" borderId="5" xfId="0" applyFont="1" applyFill="1" applyBorder="1" applyAlignment="1">
      <alignment horizontal="left" vertical="center" wrapText="1"/>
    </xf>
    <xf numFmtId="0" fontId="6" fillId="27" borderId="5" xfId="0" applyFont="1" applyFill="1" applyBorder="1" applyAlignment="1">
      <alignment vertical="center"/>
    </xf>
    <xf numFmtId="0" fontId="11" fillId="17" borderId="4" xfId="0" applyFont="1" applyFill="1" applyBorder="1" applyAlignment="1">
      <alignment vertical="center"/>
    </xf>
    <xf numFmtId="0" fontId="6" fillId="27" borderId="1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4" fillId="19" borderId="4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top"/>
    </xf>
    <xf numFmtId="0" fontId="49" fillId="0" borderId="1" xfId="0" applyFont="1" applyBorder="1"/>
    <xf numFmtId="0" fontId="3" fillId="35" borderId="8" xfId="0" applyFont="1" applyFill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3" fillId="35" borderId="0" xfId="0" applyFont="1" applyFill="1" applyAlignment="1">
      <alignment vertical="center"/>
    </xf>
    <xf numFmtId="0" fontId="12" fillId="0" borderId="6" xfId="0" applyFont="1" applyBorder="1" applyAlignment="1">
      <alignment horizontal="right" vertical="center"/>
    </xf>
    <xf numFmtId="0" fontId="34" fillId="0" borderId="12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17" borderId="6" xfId="0" applyFont="1" applyFill="1" applyBorder="1" applyAlignment="1">
      <alignment horizontal="center" vertical="center"/>
    </xf>
    <xf numFmtId="0" fontId="34" fillId="17" borderId="12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9" fillId="0" borderId="44" xfId="0" applyFont="1" applyBorder="1" applyAlignment="1">
      <alignment horizontal="left" vertical="center"/>
    </xf>
    <xf numFmtId="0" fontId="0" fillId="0" borderId="7" xfId="0" applyBorder="1"/>
    <xf numFmtId="0" fontId="0" fillId="0" borderId="5" xfId="0" applyBorder="1"/>
    <xf numFmtId="0" fontId="54" fillId="0" borderId="7" xfId="0" applyFont="1" applyBorder="1" applyAlignment="1">
      <alignment horizontal="right" vertical="center"/>
    </xf>
    <xf numFmtId="0" fontId="3" fillId="35" borderId="44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center" vertical="center"/>
    </xf>
    <xf numFmtId="0" fontId="57" fillId="20" borderId="1" xfId="0" applyFont="1" applyFill="1" applyBorder="1" applyAlignment="1">
      <alignment horizontal="center"/>
    </xf>
    <xf numFmtId="0" fontId="58" fillId="0" borderId="0" xfId="0" applyFont="1"/>
    <xf numFmtId="0" fontId="57" fillId="2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59" fillId="17" borderId="1" xfId="0" applyFont="1" applyFill="1" applyBorder="1"/>
    <xf numFmtId="0" fontId="57" fillId="20" borderId="5" xfId="0" applyFont="1" applyFill="1" applyBorder="1" applyAlignment="1">
      <alignment horizontal="center"/>
    </xf>
    <xf numFmtId="0" fontId="57" fillId="0" borderId="0" xfId="0" applyFont="1"/>
    <xf numFmtId="0" fontId="0" fillId="0" borderId="0" xfId="0" applyAlignment="1">
      <alignment wrapText="1"/>
    </xf>
    <xf numFmtId="0" fontId="57" fillId="20" borderId="0" xfId="0" applyFont="1" applyFill="1"/>
    <xf numFmtId="0" fontId="0" fillId="37" borderId="0" xfId="0" applyFill="1"/>
    <xf numFmtId="0" fontId="57" fillId="37" borderId="0" xfId="0" applyFont="1" applyFill="1"/>
    <xf numFmtId="0" fontId="61" fillId="0" borderId="0" xfId="0" applyFont="1"/>
    <xf numFmtId="0" fontId="62" fillId="0" borderId="0" xfId="0" applyFont="1"/>
    <xf numFmtId="9" fontId="0" fillId="0" borderId="0" xfId="0" applyNumberFormat="1"/>
    <xf numFmtId="0" fontId="0" fillId="0" borderId="0" xfId="0" quotePrefix="1"/>
    <xf numFmtId="0" fontId="57" fillId="0" borderId="0" xfId="0" quotePrefix="1" applyFont="1"/>
    <xf numFmtId="0" fontId="11" fillId="14" borderId="3" xfId="0" applyFont="1" applyFill="1" applyBorder="1" applyAlignment="1">
      <alignment horizontal="center"/>
    </xf>
    <xf numFmtId="0" fontId="37" fillId="16" borderId="0" xfId="0" applyFont="1" applyFill="1" applyAlignment="1">
      <alignment horizontal="center"/>
    </xf>
    <xf numFmtId="0" fontId="38" fillId="0" borderId="0" xfId="0" applyFont="1"/>
    <xf numFmtId="0" fontId="0" fillId="0" borderId="2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5" xfId="0" applyBorder="1" applyAlignment="1">
      <alignment horizontal="center"/>
    </xf>
  </cellXfs>
  <cellStyles count="3">
    <cellStyle name="Currency" xfId="1" builtinId="4"/>
    <cellStyle name="Normal" xfId="0" builtinId="0"/>
    <cellStyle name="Normal 2" xfId="2" xr:uid="{0E524313-ABC3-40A7-A7E2-2B468266B67E}"/>
  </cellStyles>
  <dxfs count="39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B7E1CD"/>
          <bgColor rgb="FFB7E1CD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D88FF7"/>
      <color rgb="FFE3D2A1"/>
      <color rgb="FFDAEDD3"/>
      <color rgb="FFF7A66F"/>
      <color rgb="FF96DAF2"/>
      <color rgb="FFE8B0CD"/>
      <color rgb="FFACCF86"/>
      <color rgb="FFBCE88E"/>
      <color rgb="FFDBF0DA"/>
      <color rgb="FFC0F0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1</xdr:row>
      <xdr:rowOff>123825</xdr:rowOff>
    </xdr:from>
    <xdr:to>
      <xdr:col>21</xdr:col>
      <xdr:colOff>523875</xdr:colOff>
      <xdr:row>12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34C37-29D0-4399-B733-BF0C6510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30550" y="419100"/>
          <a:ext cx="7315200" cy="2133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10</xdr:row>
      <xdr:rowOff>114300</xdr:rowOff>
    </xdr:from>
    <xdr:to>
      <xdr:col>14</xdr:col>
      <xdr:colOff>714375</xdr:colOff>
      <xdr:row>16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36D6-B1E3-963E-3858-9977D5D4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4125" y="1733550"/>
          <a:ext cx="4572000" cy="1009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24.sharepoint.com/Engineering/Agile/Shared%20Documents/Admin/CodeMa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Map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agjit Singh" id="{10DBE37D-E1D2-4303-AC88-E52FC2F965A1}" userId="Jagjit.Singh@on24.com" providerId="PeoplePicker"/>
  <person displayName="Jayesh Sahasi" id="{6C3FE6CA-A45B-44F4-8170-D8AF79F8108B}" userId="Jayesh.Sahasi@on24.com" providerId="PeoplePicker"/>
  <person displayName="Jagjit Singh" id="{FD28C0B6-A712-4F04-BE4B-E01BCF675BC5}" userId="S::jagjit.singh@on24.com::02919991-4fc6-4cff-89db-dffb29d0cc33" providerId="AD"/>
  <person displayName="Kashan Babar" id="{F6375CF4-0A2E-43BA-BF6A-D15594B73B3A}" userId="S::kashan.babar@on24.com::1dfdcc9b-7524-4000-b102-324faeaddbad" providerId="AD"/>
  <person displayName="Jayesh Sahasi" id="{C9E07364-8034-4F48-9D8D-3B2DD3B84528}" userId="S::jayesh.sahasi@on24.com::c8a69622-a5c6-4590-9cb1-c2280a4b752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6" dT="2023-08-25T21:02:34.12" personId="{C9E07364-8034-4F48-9D8D-3B2DD3B84528}" id="{C2B8C0F1-8583-4C3F-81E1-C549A21E3ACB}">
    <text>@Jagjit Singh Is this accurate? Is Megha no longer with this team?</text>
    <mentions>
      <mention mentionpersonId="{10DBE37D-E1D2-4303-AC88-E52FC2F965A1}" mentionId="{3C641E6F-08E2-4D83-BEFE-2D6B96F6B124}" startIndex="0" length="13"/>
    </mentions>
  </threadedComment>
  <threadedComment ref="T11" dT="2023-08-25T21:02:06.32" personId="{C9E07364-8034-4F48-9D8D-3B2DD3B84528}" id="{38C3D8D5-3A7E-410D-836B-F8548659D153}">
    <text>@Jagjit Singh Is this accurate? Don't you have a contractor?</text>
    <mentions>
      <mention mentionpersonId="{10DBE37D-E1D2-4303-AC88-E52FC2F965A1}" mentionId="{7BA396C1-8938-4181-9DDA-E536B2A1B0E4}" startIndex="0" length="13"/>
    </mentions>
  </threadedComment>
  <threadedComment ref="T11" dT="2023-08-30T19:05:52.74" personId="{F6375CF4-0A2E-43BA-BF6A-D15594B73B3A}" id="{AF96F494-B2CB-44D9-97B4-7394DBDBA07B}" parentId="{38C3D8D5-3A7E-410D-836B-F8548659D153}">
    <text>@Jayesh Sahasi: fixed and updated the new SM resource name. Thanks</text>
    <mentions>
      <mention mentionpersonId="{6C3FE6CA-A45B-44F4-8170-D8AF79F8108B}" mentionId="{165AC941-6752-4396-957D-BE237E6B724D}" startIndex="0" length="1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6" dT="2023-08-25T21:02:34.12" personId="{C9E07364-8034-4F48-9D8D-3B2DD3B84528}" id="{624E6310-3025-46CC-8121-DB8AA47662F6}">
    <text>@Jagjit Singh Is this accurate? Is Megha no longer with this team?</text>
    <mentions>
      <mention mentionpersonId="{10DBE37D-E1D2-4303-AC88-E52FC2F965A1}" mentionId="{D309365E-912A-4F87-B742-070D6A4D2FC6}" startIndex="0" length="13"/>
    </mentions>
  </threadedComment>
  <threadedComment ref="U11" dT="2023-08-25T21:02:06.32" personId="{C9E07364-8034-4F48-9D8D-3B2DD3B84528}" id="{18A103F1-5FE8-4D78-A82E-37F96F32A3FF}">
    <text>@Jagjit Singh Is this accurate? Don't you have a contractor?</text>
    <mentions>
      <mention mentionpersonId="{10DBE37D-E1D2-4303-AC88-E52FC2F965A1}" mentionId="{6B540D39-2424-48BB-A00A-74673FABF0F1}" startIndex="0" length="13"/>
    </mentions>
  </threadedComment>
  <threadedComment ref="U11" dT="2023-08-30T19:05:52.74" personId="{F6375CF4-0A2E-43BA-BF6A-D15594B73B3A}" id="{2602D308-DE59-4AC9-BF2A-1C6B045FDEC3}" parentId="{18A103F1-5FE8-4D78-A82E-37F96F32A3FF}">
    <text>@Jayesh Sahasi: fixed and updated the new SM resource name. Thanks</text>
    <mentions>
      <mention mentionpersonId="{6C3FE6CA-A45B-44F4-8170-D8AF79F8108B}" mentionId="{A6138AAC-E871-4D3A-B8A5-FF415E7F9086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3" dT="2022-01-05T18:07:56.97" personId="{FD28C0B6-A712-4F04-BE4B-E01BCF675BC5}" id="{60C0B582-485F-43BB-B6DD-69C483A804E0}">
    <text xml:space="preserve">From Andela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3C50-9008-433F-97B6-54FC21EB7D8C}">
  <sheetPr>
    <tabColor rgb="FF00B050"/>
    <outlinePr summaryBelow="0" summaryRight="0"/>
  </sheetPr>
  <dimension ref="A1:T49"/>
  <sheetViews>
    <sheetView tabSelected="1" zoomScale="110" zoomScaleNormal="110" workbookViewId="0">
      <pane xSplit="1" topLeftCell="C1" activePane="topRight" state="frozen"/>
      <selection activeCell="A3" sqref="A3"/>
      <selection pane="topRight" activeCell="I6" sqref="I6"/>
    </sheetView>
  </sheetViews>
  <sheetFormatPr defaultColWidth="14.42578125" defaultRowHeight="15.75" customHeight="1" x14ac:dyDescent="0.2"/>
  <cols>
    <col min="1" max="1" width="33.28515625" customWidth="1"/>
    <col min="2" max="2" width="23.28515625" bestFit="1" customWidth="1"/>
    <col min="3" max="3" width="22.85546875" bestFit="1" customWidth="1"/>
    <col min="4" max="4" width="23.42578125" customWidth="1"/>
    <col min="5" max="5" width="22" customWidth="1"/>
    <col min="6" max="6" width="25.42578125" bestFit="1" customWidth="1"/>
    <col min="7" max="7" width="20.85546875" customWidth="1"/>
    <col min="8" max="8" width="27" customWidth="1"/>
    <col min="9" max="9" width="22" customWidth="1"/>
    <col min="10" max="10" width="28" customWidth="1"/>
    <col min="11" max="11" width="20.85546875" customWidth="1"/>
    <col min="12" max="12" width="26" customWidth="1"/>
    <col min="13" max="13" width="28.42578125" customWidth="1"/>
    <col min="14" max="14" width="26.28515625" customWidth="1"/>
    <col min="15" max="15" width="24.85546875" customWidth="1"/>
    <col min="16" max="16" width="29.42578125" customWidth="1"/>
    <col min="17" max="17" width="23.85546875" customWidth="1"/>
    <col min="18" max="18" width="25.140625" bestFit="1" customWidth="1"/>
    <col min="19" max="19" width="26.7109375" bestFit="1" customWidth="1"/>
    <col min="20" max="20" width="25.85546875" customWidth="1"/>
  </cols>
  <sheetData>
    <row r="1" spans="1:20" s="207" customFormat="1" x14ac:dyDescent="0.25">
      <c r="A1" s="203" t="s">
        <v>0</v>
      </c>
      <c r="B1" s="204" t="s">
        <v>1</v>
      </c>
      <c r="C1" s="204" t="s">
        <v>2</v>
      </c>
      <c r="D1" s="204" t="s">
        <v>3</v>
      </c>
      <c r="E1" s="204" t="s">
        <v>4</v>
      </c>
      <c r="F1" s="204"/>
      <c r="G1" s="204" t="s">
        <v>5</v>
      </c>
      <c r="H1" s="204" t="s">
        <v>1</v>
      </c>
      <c r="I1" s="204" t="s">
        <v>2</v>
      </c>
      <c r="J1" s="204" t="s">
        <v>2</v>
      </c>
      <c r="K1" s="204" t="s">
        <v>6</v>
      </c>
      <c r="L1" s="204" t="s">
        <v>4</v>
      </c>
      <c r="M1" s="204" t="s">
        <v>7</v>
      </c>
      <c r="N1" s="204" t="s">
        <v>4</v>
      </c>
      <c r="O1" s="204" t="s">
        <v>4</v>
      </c>
      <c r="P1" s="204" t="s">
        <v>1</v>
      </c>
      <c r="Q1" s="204"/>
      <c r="R1" s="205" t="s">
        <v>8</v>
      </c>
      <c r="S1" s="205" t="s">
        <v>9</v>
      </c>
      <c r="T1" s="206"/>
    </row>
    <row r="2" spans="1:20" s="123" customFormat="1" x14ac:dyDescent="0.25">
      <c r="A2" s="217" t="s">
        <v>10</v>
      </c>
      <c r="B2" s="218" t="s">
        <v>11</v>
      </c>
      <c r="C2" s="218" t="s">
        <v>11</v>
      </c>
      <c r="D2" s="218" t="s">
        <v>3</v>
      </c>
      <c r="E2" s="218" t="s">
        <v>12</v>
      </c>
      <c r="F2" s="219" t="s">
        <v>13</v>
      </c>
      <c r="G2" s="218" t="s">
        <v>13</v>
      </c>
      <c r="H2" s="218" t="s">
        <v>14</v>
      </c>
      <c r="I2" s="218" t="s">
        <v>15</v>
      </c>
      <c r="J2" s="218" t="s">
        <v>14</v>
      </c>
      <c r="K2" s="218" t="s">
        <v>13</v>
      </c>
      <c r="L2" s="218" t="s">
        <v>16</v>
      </c>
      <c r="M2" s="218" t="s">
        <v>17</v>
      </c>
      <c r="N2" s="218" t="s">
        <v>18</v>
      </c>
      <c r="O2" s="218" t="s">
        <v>19</v>
      </c>
      <c r="P2" s="218" t="s">
        <v>20</v>
      </c>
      <c r="Q2" s="218" t="s">
        <v>21</v>
      </c>
      <c r="R2" s="221" t="s">
        <v>8</v>
      </c>
      <c r="S2" s="219" t="s">
        <v>22</v>
      </c>
      <c r="T2" s="222"/>
    </row>
    <row r="3" spans="1:20" s="207" customFormat="1" x14ac:dyDescent="0.25">
      <c r="A3" s="208" t="s">
        <v>23</v>
      </c>
      <c r="B3" s="209" t="s">
        <v>24</v>
      </c>
      <c r="C3" s="209" t="s">
        <v>24</v>
      </c>
      <c r="D3" s="209" t="s">
        <v>24</v>
      </c>
      <c r="E3" s="209" t="s">
        <v>12</v>
      </c>
      <c r="F3" s="210" t="s">
        <v>25</v>
      </c>
      <c r="G3" s="218" t="s">
        <v>13</v>
      </c>
      <c r="H3" s="209" t="s">
        <v>24</v>
      </c>
      <c r="I3" s="209" t="s">
        <v>13</v>
      </c>
      <c r="J3" s="209" t="s">
        <v>26</v>
      </c>
      <c r="K3" s="209" t="s">
        <v>13</v>
      </c>
      <c r="L3" s="209" t="s">
        <v>27</v>
      </c>
      <c r="M3" s="209" t="s">
        <v>28</v>
      </c>
      <c r="N3" s="209" t="s">
        <v>17</v>
      </c>
      <c r="O3" s="209" t="s">
        <v>17</v>
      </c>
      <c r="P3" s="209" t="s">
        <v>29</v>
      </c>
      <c r="Q3" s="209" t="s">
        <v>30</v>
      </c>
      <c r="R3" s="211" t="s">
        <v>8</v>
      </c>
      <c r="S3" s="219" t="s">
        <v>13</v>
      </c>
      <c r="T3" s="212"/>
    </row>
    <row r="4" spans="1:20" s="123" customFormat="1" x14ac:dyDescent="0.25">
      <c r="A4" s="223" t="s">
        <v>31</v>
      </c>
      <c r="B4" s="224" t="s">
        <v>32</v>
      </c>
      <c r="C4" s="224" t="s">
        <v>32</v>
      </c>
      <c r="D4" s="224" t="s">
        <v>32</v>
      </c>
      <c r="E4" s="224" t="s">
        <v>33</v>
      </c>
      <c r="F4" s="225"/>
      <c r="G4" s="224" t="s">
        <v>34</v>
      </c>
      <c r="H4" s="224" t="s">
        <v>35</v>
      </c>
      <c r="I4" s="224" t="s">
        <v>36</v>
      </c>
      <c r="J4" s="224" t="s">
        <v>37</v>
      </c>
      <c r="K4" s="224"/>
      <c r="L4" s="224" t="s">
        <v>38</v>
      </c>
      <c r="M4" s="224"/>
      <c r="N4" s="224" t="s">
        <v>39</v>
      </c>
      <c r="O4" s="224" t="s">
        <v>40</v>
      </c>
      <c r="P4" s="224" t="s">
        <v>32</v>
      </c>
      <c r="Q4" s="224"/>
      <c r="R4" s="221" t="s">
        <v>41</v>
      </c>
      <c r="S4" s="220" t="s">
        <v>40</v>
      </c>
      <c r="T4" s="222"/>
    </row>
    <row r="5" spans="1:20" s="227" customFormat="1" x14ac:dyDescent="0.25">
      <c r="A5" s="564" t="s">
        <v>42</v>
      </c>
      <c r="B5" s="214" t="s">
        <v>43</v>
      </c>
      <c r="C5" s="214" t="s">
        <v>44</v>
      </c>
      <c r="D5" s="214"/>
      <c r="E5" s="214" t="s">
        <v>45</v>
      </c>
      <c r="F5" s="214" t="s">
        <v>46</v>
      </c>
      <c r="G5" s="214" t="s">
        <v>47</v>
      </c>
      <c r="H5" s="214" t="s">
        <v>48</v>
      </c>
      <c r="I5" s="214" t="s">
        <v>49</v>
      </c>
      <c r="J5" s="214" t="s">
        <v>50</v>
      </c>
      <c r="K5" s="214" t="s">
        <v>51</v>
      </c>
      <c r="L5" s="214" t="s">
        <v>52</v>
      </c>
      <c r="M5" s="214" t="s">
        <v>53</v>
      </c>
      <c r="N5" s="214" t="s">
        <v>54</v>
      </c>
      <c r="O5" s="214" t="s">
        <v>55</v>
      </c>
      <c r="P5" s="214" t="s">
        <v>56</v>
      </c>
      <c r="Q5" s="214" t="s">
        <v>57</v>
      </c>
      <c r="R5" s="552" t="s">
        <v>58</v>
      </c>
      <c r="S5" s="552" t="s">
        <v>59</v>
      </c>
      <c r="T5" s="565" t="s">
        <v>57</v>
      </c>
    </row>
    <row r="6" spans="1:20" ht="43.5" customHeight="1" x14ac:dyDescent="0.3">
      <c r="A6" s="553"/>
      <c r="B6" s="554" t="s">
        <v>60</v>
      </c>
      <c r="C6" s="626" t="s">
        <v>61</v>
      </c>
      <c r="D6" s="614" t="s">
        <v>62</v>
      </c>
      <c r="E6" s="626" t="s">
        <v>63</v>
      </c>
      <c r="F6" s="563" t="s">
        <v>64</v>
      </c>
      <c r="G6" s="556" t="s">
        <v>65</v>
      </c>
      <c r="H6" s="560" t="s">
        <v>66</v>
      </c>
      <c r="I6" s="561" t="s">
        <v>67</v>
      </c>
      <c r="J6" s="562" t="s">
        <v>68</v>
      </c>
      <c r="K6" s="557" t="s">
        <v>69</v>
      </c>
      <c r="L6" s="558" t="s">
        <v>70</v>
      </c>
      <c r="M6" s="554" t="s">
        <v>71</v>
      </c>
      <c r="N6" s="559" t="s">
        <v>72</v>
      </c>
      <c r="O6" s="573" t="s">
        <v>73</v>
      </c>
      <c r="P6" s="573" t="s">
        <v>74</v>
      </c>
      <c r="Q6" s="642" t="s">
        <v>75</v>
      </c>
      <c r="R6" s="555" t="s">
        <v>76</v>
      </c>
      <c r="S6" s="607" t="s">
        <v>77</v>
      </c>
      <c r="T6" s="657" t="s">
        <v>78</v>
      </c>
    </row>
    <row r="7" spans="1:20" ht="18.75" x14ac:dyDescent="0.3">
      <c r="A7" s="566" t="s">
        <v>79</v>
      </c>
      <c r="B7" s="549" t="s">
        <v>80</v>
      </c>
      <c r="C7" s="541" t="s">
        <v>80</v>
      </c>
      <c r="D7" s="615"/>
      <c r="E7" s="541" t="s">
        <v>80</v>
      </c>
      <c r="F7" s="572" t="s">
        <v>80</v>
      </c>
      <c r="G7" s="567" t="s">
        <v>80</v>
      </c>
      <c r="H7" s="567" t="s">
        <v>80</v>
      </c>
      <c r="I7" s="567" t="s">
        <v>80</v>
      </c>
      <c r="J7" s="567" t="s">
        <v>80</v>
      </c>
      <c r="K7" s="550" t="s">
        <v>80</v>
      </c>
      <c r="L7" s="550" t="s">
        <v>80</v>
      </c>
      <c r="M7" s="550" t="s">
        <v>80</v>
      </c>
      <c r="N7" s="651" t="s">
        <v>80</v>
      </c>
      <c r="O7" s="541" t="s">
        <v>80</v>
      </c>
      <c r="P7" s="641" t="s">
        <v>80</v>
      </c>
      <c r="Q7" s="571" t="s">
        <v>80</v>
      </c>
      <c r="R7" s="641" t="s">
        <v>80</v>
      </c>
      <c r="S7" s="572" t="s">
        <v>80</v>
      </c>
      <c r="T7" s="40" t="s">
        <v>81</v>
      </c>
    </row>
    <row r="8" spans="1:20" ht="23.25" customHeight="1" x14ac:dyDescent="0.2">
      <c r="A8" s="515" t="s">
        <v>82</v>
      </c>
      <c r="B8" s="547" t="s">
        <v>83</v>
      </c>
      <c r="C8" s="540" t="s">
        <v>83</v>
      </c>
      <c r="D8" s="616"/>
      <c r="E8" s="540" t="s">
        <v>84</v>
      </c>
      <c r="F8" s="543" t="s">
        <v>25</v>
      </c>
      <c r="G8" s="547" t="s">
        <v>6</v>
      </c>
      <c r="H8" s="547" t="s">
        <v>85</v>
      </c>
      <c r="I8" s="547" t="s">
        <v>86</v>
      </c>
      <c r="J8" s="574" t="s">
        <v>26</v>
      </c>
      <c r="K8" s="540" t="s">
        <v>6</v>
      </c>
      <c r="L8" s="540" t="s">
        <v>87</v>
      </c>
      <c r="M8" s="547" t="s">
        <v>88</v>
      </c>
      <c r="N8" s="540" t="s">
        <v>89</v>
      </c>
      <c r="O8" s="543" t="s">
        <v>90</v>
      </c>
      <c r="P8" s="646" t="s">
        <v>91</v>
      </c>
      <c r="Q8" s="653" t="s">
        <v>92</v>
      </c>
      <c r="R8" s="655" t="s">
        <v>3</v>
      </c>
      <c r="S8" s="656" t="s">
        <v>9</v>
      </c>
      <c r="T8" s="583" t="s">
        <v>93</v>
      </c>
    </row>
    <row r="9" spans="1:20" ht="18.75" x14ac:dyDescent="0.2">
      <c r="A9" s="247" t="s">
        <v>94</v>
      </c>
      <c r="B9" s="604"/>
      <c r="C9" s="660"/>
      <c r="D9" s="615"/>
      <c r="E9" s="540" t="s">
        <v>12</v>
      </c>
      <c r="F9" s="540"/>
      <c r="G9" s="540"/>
      <c r="H9" s="540"/>
      <c r="I9" s="540"/>
      <c r="J9" s="574"/>
      <c r="K9" s="574"/>
      <c r="L9" s="574"/>
      <c r="M9" s="574"/>
      <c r="N9" s="540"/>
      <c r="O9" s="543"/>
      <c r="P9" s="547" t="s">
        <v>95</v>
      </c>
      <c r="Q9" s="547"/>
      <c r="R9" s="574"/>
      <c r="S9" s="656" t="s">
        <v>96</v>
      </c>
      <c r="T9" s="583" t="s">
        <v>97</v>
      </c>
    </row>
    <row r="10" spans="1:20" ht="18.75" x14ac:dyDescent="0.2">
      <c r="A10" s="544" t="s">
        <v>98</v>
      </c>
      <c r="B10" s="548" t="s">
        <v>99</v>
      </c>
      <c r="C10" s="541" t="s">
        <v>99</v>
      </c>
      <c r="D10" s="617"/>
      <c r="E10" s="624" t="s">
        <v>99</v>
      </c>
      <c r="F10" s="568" t="s">
        <v>99</v>
      </c>
      <c r="G10" s="548" t="s">
        <v>99</v>
      </c>
      <c r="H10" s="548" t="s">
        <v>99</v>
      </c>
      <c r="I10" s="548" t="s">
        <v>99</v>
      </c>
      <c r="J10" s="541" t="s">
        <v>99</v>
      </c>
      <c r="K10" s="541" t="s">
        <v>99</v>
      </c>
      <c r="L10" s="541" t="s">
        <v>99</v>
      </c>
      <c r="M10" s="548" t="s">
        <v>99</v>
      </c>
      <c r="N10" s="541" t="s">
        <v>99</v>
      </c>
      <c r="O10" s="650" t="s">
        <v>99</v>
      </c>
      <c r="P10" s="548" t="s">
        <v>99</v>
      </c>
      <c r="Q10" s="548" t="s">
        <v>99</v>
      </c>
      <c r="R10" s="548" t="s">
        <v>99</v>
      </c>
      <c r="S10" s="621" t="s">
        <v>100</v>
      </c>
      <c r="T10" s="594" t="s">
        <v>101</v>
      </c>
    </row>
    <row r="11" spans="1:20" ht="18.75" x14ac:dyDescent="0.25">
      <c r="A11" s="545" t="s">
        <v>102</v>
      </c>
      <c r="B11" s="613" t="s">
        <v>103</v>
      </c>
      <c r="C11" s="542" t="s">
        <v>104</v>
      </c>
      <c r="D11" s="618"/>
      <c r="E11" s="542" t="s">
        <v>105</v>
      </c>
      <c r="F11" s="625" t="s">
        <v>3</v>
      </c>
      <c r="G11" s="547" t="s">
        <v>40</v>
      </c>
      <c r="H11" s="547" t="s">
        <v>106</v>
      </c>
      <c r="I11" s="547" t="s">
        <v>35</v>
      </c>
      <c r="J11" s="575" t="s">
        <v>37</v>
      </c>
      <c r="K11" s="635" t="s">
        <v>3</v>
      </c>
      <c r="L11" s="575" t="s">
        <v>107</v>
      </c>
      <c r="M11" s="649" t="s">
        <v>3</v>
      </c>
      <c r="N11" s="540" t="s">
        <v>39</v>
      </c>
      <c r="O11" s="543" t="s">
        <v>108</v>
      </c>
      <c r="P11" s="547" t="s">
        <v>32</v>
      </c>
      <c r="Q11" s="649" t="s">
        <v>3</v>
      </c>
      <c r="R11" s="538"/>
      <c r="S11" s="579" t="s">
        <v>109</v>
      </c>
      <c r="T11" s="290"/>
    </row>
    <row r="12" spans="1:20" ht="18.75" x14ac:dyDescent="0.25">
      <c r="A12" s="546" t="s">
        <v>110</v>
      </c>
      <c r="B12" s="598" t="s">
        <v>111</v>
      </c>
      <c r="C12" s="600" t="s">
        <v>112</v>
      </c>
      <c r="D12" s="619"/>
      <c r="E12" s="600" t="s">
        <v>112</v>
      </c>
      <c r="F12" s="599" t="s">
        <v>112</v>
      </c>
      <c r="G12" s="598" t="s">
        <v>112</v>
      </c>
      <c r="H12" s="598" t="s">
        <v>112</v>
      </c>
      <c r="I12" s="598" t="s">
        <v>112</v>
      </c>
      <c r="J12" s="629" t="s">
        <v>112</v>
      </c>
      <c r="K12" s="632" t="s">
        <v>112</v>
      </c>
      <c r="L12" s="632" t="s">
        <v>112</v>
      </c>
      <c r="M12" s="600" t="s">
        <v>112</v>
      </c>
      <c r="N12" s="629" t="s">
        <v>112</v>
      </c>
      <c r="O12" s="601" t="s">
        <v>112</v>
      </c>
      <c r="P12" s="644" t="s">
        <v>112</v>
      </c>
      <c r="Q12" s="601" t="s">
        <v>112</v>
      </c>
      <c r="R12" s="600" t="s">
        <v>112</v>
      </c>
      <c r="S12" s="608" t="s">
        <v>113</v>
      </c>
      <c r="T12" s="260"/>
    </row>
    <row r="13" spans="1:20" ht="18.75" x14ac:dyDescent="0.25">
      <c r="A13" s="122"/>
      <c r="B13" s="581" t="s">
        <v>114</v>
      </c>
      <c r="C13" s="659" t="s">
        <v>115</v>
      </c>
      <c r="D13" s="619"/>
      <c r="E13" s="538" t="s">
        <v>116</v>
      </c>
      <c r="F13" s="570" t="s">
        <v>117</v>
      </c>
      <c r="G13" s="586" t="s">
        <v>118</v>
      </c>
      <c r="H13" s="587" t="s">
        <v>119</v>
      </c>
      <c r="I13" s="586" t="s">
        <v>120</v>
      </c>
      <c r="J13" s="631"/>
      <c r="K13" s="633" t="s">
        <v>121</v>
      </c>
      <c r="L13" s="622" t="s">
        <v>122</v>
      </c>
      <c r="M13" s="636" t="s">
        <v>123</v>
      </c>
      <c r="N13" s="637" t="s">
        <v>124</v>
      </c>
      <c r="O13" s="631" t="s">
        <v>125</v>
      </c>
      <c r="P13" s="645" t="s">
        <v>126</v>
      </c>
      <c r="Q13" s="586" t="s">
        <v>127</v>
      </c>
      <c r="R13" s="54" t="s">
        <v>3</v>
      </c>
      <c r="S13" s="539" t="s">
        <v>128</v>
      </c>
      <c r="T13" s="260"/>
    </row>
    <row r="14" spans="1:20" ht="18.75" x14ac:dyDescent="0.25">
      <c r="A14" s="122"/>
      <c r="B14" s="581" t="s">
        <v>129</v>
      </c>
      <c r="C14" s="658" t="s">
        <v>130</v>
      </c>
      <c r="D14" s="619"/>
      <c r="E14" s="627" t="s">
        <v>131</v>
      </c>
      <c r="F14" s="583" t="s">
        <v>132</v>
      </c>
      <c r="G14" s="551" t="s">
        <v>128</v>
      </c>
      <c r="H14" s="588" t="s">
        <v>133</v>
      </c>
      <c r="I14" s="590" t="s">
        <v>134</v>
      </c>
      <c r="J14" s="634" t="s">
        <v>135</v>
      </c>
      <c r="K14" s="587" t="s">
        <v>136</v>
      </c>
      <c r="L14" s="622" t="s">
        <v>137</v>
      </c>
      <c r="M14" s="637" t="s">
        <v>138</v>
      </c>
      <c r="N14" s="631" t="s">
        <v>139</v>
      </c>
      <c r="O14" s="538" t="s">
        <v>140</v>
      </c>
      <c r="P14" s="597" t="s">
        <v>141</v>
      </c>
      <c r="Q14" s="586" t="s">
        <v>142</v>
      </c>
      <c r="R14" s="539" t="s">
        <v>128</v>
      </c>
      <c r="S14" s="606" t="s">
        <v>143</v>
      </c>
      <c r="T14" s="260"/>
    </row>
    <row r="15" spans="1:20" ht="18.75" x14ac:dyDescent="0.25">
      <c r="A15" s="122"/>
      <c r="B15" s="581" t="s">
        <v>144</v>
      </c>
      <c r="C15" s="163" t="s">
        <v>145</v>
      </c>
      <c r="D15" s="618"/>
      <c r="E15" s="622" t="s">
        <v>146</v>
      </c>
      <c r="F15" s="583" t="s">
        <v>147</v>
      </c>
      <c r="G15" s="585" t="s">
        <v>148</v>
      </c>
      <c r="H15" s="587" t="s">
        <v>149</v>
      </c>
      <c r="I15" s="590"/>
      <c r="J15" s="579" t="s">
        <v>150</v>
      </c>
      <c r="K15" s="593" t="s">
        <v>151</v>
      </c>
      <c r="L15" s="622" t="s">
        <v>152</v>
      </c>
      <c r="M15" s="269"/>
      <c r="N15" s="640" t="s">
        <v>153</v>
      </c>
      <c r="O15" s="538" t="s">
        <v>154</v>
      </c>
      <c r="P15" s="594" t="s">
        <v>155</v>
      </c>
      <c r="Q15" s="654" t="s">
        <v>156</v>
      </c>
      <c r="R15" s="584" t="s">
        <v>157</v>
      </c>
      <c r="S15" s="606" t="s">
        <v>158</v>
      </c>
      <c r="T15" s="260"/>
    </row>
    <row r="16" spans="1:20" ht="18.75" x14ac:dyDescent="0.25">
      <c r="A16" s="122"/>
      <c r="B16" s="581" t="s">
        <v>159</v>
      </c>
      <c r="C16" s="163" t="s">
        <v>160</v>
      </c>
      <c r="D16" s="577"/>
      <c r="E16" s="622" t="s">
        <v>161</v>
      </c>
      <c r="F16" s="620" t="s">
        <v>162</v>
      </c>
      <c r="G16" s="576" t="s">
        <v>163</v>
      </c>
      <c r="H16" s="586" t="s">
        <v>164</v>
      </c>
      <c r="I16" s="578" t="s">
        <v>128</v>
      </c>
      <c r="J16" s="579" t="s">
        <v>165</v>
      </c>
      <c r="K16" s="261"/>
      <c r="L16" s="538" t="s">
        <v>166</v>
      </c>
      <c r="M16" s="261"/>
      <c r="N16" s="631" t="s">
        <v>167</v>
      </c>
      <c r="O16" s="538" t="s">
        <v>168</v>
      </c>
      <c r="P16" s="597" t="s">
        <v>169</v>
      </c>
      <c r="R16" s="584" t="s">
        <v>170</v>
      </c>
      <c r="S16" s="584" t="s">
        <v>171</v>
      </c>
      <c r="T16" s="260"/>
    </row>
    <row r="17" spans="1:20" x14ac:dyDescent="0.25">
      <c r="A17" s="122"/>
      <c r="B17" s="582" t="s">
        <v>172</v>
      </c>
      <c r="C17" s="163" t="s">
        <v>173</v>
      </c>
      <c r="D17" s="577"/>
      <c r="E17" s="622" t="s">
        <v>174</v>
      </c>
      <c r="F17" s="621" t="s">
        <v>175</v>
      </c>
      <c r="G17" s="576" t="s">
        <v>176</v>
      </c>
      <c r="H17" s="587" t="s">
        <v>177</v>
      </c>
      <c r="I17" s="583" t="s">
        <v>178</v>
      </c>
      <c r="J17" s="672" t="s">
        <v>179</v>
      </c>
      <c r="K17" s="261"/>
      <c r="L17" s="622" t="s">
        <v>180</v>
      </c>
      <c r="M17" s="261"/>
      <c r="N17" s="637" t="s">
        <v>122</v>
      </c>
      <c r="O17" s="622" t="s">
        <v>181</v>
      </c>
      <c r="P17" s="594" t="s">
        <v>182</v>
      </c>
      <c r="Q17" s="278"/>
      <c r="R17" s="584" t="s">
        <v>183</v>
      </c>
      <c r="S17" s="584" t="s">
        <v>184</v>
      </c>
      <c r="T17" s="260"/>
    </row>
    <row r="18" spans="1:20" ht="18.75" x14ac:dyDescent="0.25">
      <c r="A18" s="122"/>
      <c r="B18" s="586" t="s">
        <v>185</v>
      </c>
      <c r="C18" s="661" t="s">
        <v>128</v>
      </c>
      <c r="D18" s="577"/>
      <c r="E18" s="622" t="s">
        <v>186</v>
      </c>
      <c r="F18" s="621" t="s">
        <v>187</v>
      </c>
      <c r="G18" s="576" t="s">
        <v>188</v>
      </c>
      <c r="H18" s="587" t="s">
        <v>189</v>
      </c>
      <c r="I18" s="583" t="s">
        <v>190</v>
      </c>
      <c r="J18" s="630" t="s">
        <v>128</v>
      </c>
      <c r="K18" s="261"/>
      <c r="L18" s="622" t="s">
        <v>191</v>
      </c>
      <c r="M18" s="628"/>
      <c r="N18" s="631" t="s">
        <v>192</v>
      </c>
      <c r="O18" s="622" t="s">
        <v>193</v>
      </c>
      <c r="P18" s="597" t="s">
        <v>194</v>
      </c>
      <c r="Q18" s="278"/>
      <c r="R18" s="584" t="s">
        <v>195</v>
      </c>
      <c r="T18" s="260"/>
    </row>
    <row r="19" spans="1:20" ht="18.75" x14ac:dyDescent="0.25">
      <c r="A19" s="122"/>
      <c r="B19" s="582" t="s">
        <v>196</v>
      </c>
      <c r="C19" s="589" t="s">
        <v>197</v>
      </c>
      <c r="D19" s="252"/>
      <c r="E19" s="623" t="s">
        <v>198</v>
      </c>
      <c r="F19" s="621" t="s">
        <v>199</v>
      </c>
      <c r="G19" s="576"/>
      <c r="H19" s="605"/>
      <c r="I19" s="591" t="s">
        <v>200</v>
      </c>
      <c r="J19" s="538" t="s">
        <v>201</v>
      </c>
      <c r="K19" s="261"/>
      <c r="L19" s="583" t="s">
        <v>202</v>
      </c>
      <c r="M19" s="261"/>
      <c r="N19" s="569" t="s">
        <v>128</v>
      </c>
      <c r="O19" s="595" t="s">
        <v>198</v>
      </c>
      <c r="P19" s="594" t="s">
        <v>203</v>
      </c>
      <c r="Q19" s="278"/>
      <c r="R19" s="584" t="s">
        <v>204</v>
      </c>
      <c r="S19" s="577"/>
      <c r="T19" s="260"/>
    </row>
    <row r="20" spans="1:20" ht="18.75" x14ac:dyDescent="0.25">
      <c r="A20" s="122"/>
      <c r="B20" s="663" t="s">
        <v>128</v>
      </c>
      <c r="C20" s="584" t="s">
        <v>205</v>
      </c>
      <c r="D20" s="252"/>
      <c r="E20" s="596" t="s">
        <v>206</v>
      </c>
      <c r="F20" s="290"/>
      <c r="G20" s="576"/>
      <c r="H20" s="602"/>
      <c r="I20" s="591" t="s">
        <v>207</v>
      </c>
      <c r="J20" s="538" t="s">
        <v>208</v>
      </c>
      <c r="K20" s="261"/>
      <c r="L20" s="622" t="s">
        <v>209</v>
      </c>
      <c r="M20" s="261"/>
      <c r="N20" s="589" t="s">
        <v>210</v>
      </c>
      <c r="O20" s="674" t="s">
        <v>206</v>
      </c>
      <c r="P20" s="652" t="s">
        <v>128</v>
      </c>
      <c r="Q20" s="278"/>
      <c r="R20" s="584" t="s">
        <v>211</v>
      </c>
      <c r="S20" s="577"/>
      <c r="T20" s="260"/>
    </row>
    <row r="21" spans="1:20" ht="18.75" x14ac:dyDescent="0.25">
      <c r="A21" s="122"/>
      <c r="B21" s="589" t="s">
        <v>103</v>
      </c>
      <c r="C21" s="639" t="s">
        <v>212</v>
      </c>
      <c r="D21" s="252"/>
      <c r="E21" s="596" t="s">
        <v>213</v>
      </c>
      <c r="F21" s="290"/>
      <c r="H21" s="578" t="s">
        <v>214</v>
      </c>
      <c r="I21" s="591" t="s">
        <v>215</v>
      </c>
      <c r="J21" s="592" t="s">
        <v>216</v>
      </c>
      <c r="K21" s="261"/>
      <c r="L21" s="622" t="s">
        <v>217</v>
      </c>
      <c r="M21" s="261"/>
      <c r="N21" s="589" t="s">
        <v>218</v>
      </c>
      <c r="O21" s="674" t="s">
        <v>213</v>
      </c>
      <c r="P21" s="538" t="s">
        <v>219</v>
      </c>
      <c r="Q21" s="278"/>
      <c r="R21" s="584" t="s">
        <v>220</v>
      </c>
      <c r="S21" s="577"/>
      <c r="T21" s="260"/>
    </row>
    <row r="22" spans="1:20" ht="19.5" customHeight="1" x14ac:dyDescent="0.25">
      <c r="A22" s="122"/>
      <c r="B22" s="589" t="s">
        <v>221</v>
      </c>
      <c r="C22" s="639" t="s">
        <v>222</v>
      </c>
      <c r="E22" s="627" t="s">
        <v>223</v>
      </c>
      <c r="F22" s="290"/>
      <c r="G22" s="286"/>
      <c r="H22" s="631" t="s">
        <v>201</v>
      </c>
      <c r="I22" s="591" t="s">
        <v>224</v>
      </c>
      <c r="J22" s="592" t="s">
        <v>225</v>
      </c>
      <c r="K22" s="261"/>
      <c r="L22" s="622" t="s">
        <v>226</v>
      </c>
      <c r="M22" s="261"/>
      <c r="N22" s="592" t="s">
        <v>227</v>
      </c>
      <c r="O22" s="675" t="s">
        <v>128</v>
      </c>
      <c r="P22" s="538" t="s">
        <v>228</v>
      </c>
      <c r="Q22" s="278"/>
      <c r="R22" s="584" t="s">
        <v>229</v>
      </c>
      <c r="S22" s="577"/>
      <c r="T22" s="260"/>
    </row>
    <row r="23" spans="1:20" ht="19.5" customHeight="1" x14ac:dyDescent="0.25">
      <c r="A23" s="122"/>
      <c r="B23" s="584" t="s">
        <v>230</v>
      </c>
      <c r="C23" s="671" t="s">
        <v>231</v>
      </c>
      <c r="D23" s="252"/>
      <c r="E23" s="539" t="s">
        <v>128</v>
      </c>
      <c r="G23" s="290"/>
      <c r="H23" s="538" t="s">
        <v>232</v>
      </c>
      <c r="I23" s="577"/>
      <c r="J23" s="592" t="s">
        <v>233</v>
      </c>
      <c r="K23" s="277"/>
      <c r="L23" s="538" t="s">
        <v>234</v>
      </c>
      <c r="M23" s="277"/>
      <c r="N23" s="591" t="s">
        <v>235</v>
      </c>
      <c r="O23" s="538" t="s">
        <v>236</v>
      </c>
      <c r="P23" s="592" t="s">
        <v>237</v>
      </c>
      <c r="Q23" s="278"/>
      <c r="R23" s="584" t="s">
        <v>238</v>
      </c>
      <c r="S23" s="577"/>
      <c r="T23" s="261"/>
    </row>
    <row r="24" spans="1:20" ht="20.25" customHeight="1" x14ac:dyDescent="0.25">
      <c r="A24" s="122"/>
      <c r="B24" s="584" t="s">
        <v>239</v>
      </c>
      <c r="C24" s="639" t="s">
        <v>240</v>
      </c>
      <c r="D24" s="252"/>
      <c r="E24" s="589" t="s">
        <v>241</v>
      </c>
      <c r="F24" s="284"/>
      <c r="G24" s="290"/>
      <c r="H24" s="592" t="s">
        <v>242</v>
      </c>
      <c r="I24" s="577"/>
      <c r="J24" s="592" t="s">
        <v>243</v>
      </c>
      <c r="K24" s="277"/>
      <c r="L24" s="622" t="s">
        <v>244</v>
      </c>
      <c r="M24" s="277"/>
      <c r="N24" s="591" t="s">
        <v>245</v>
      </c>
      <c r="O24" s="538" t="s">
        <v>246</v>
      </c>
      <c r="P24" s="592" t="s">
        <v>247</v>
      </c>
      <c r="Q24" s="278"/>
      <c r="R24" s="584" t="s">
        <v>248</v>
      </c>
      <c r="S24" s="577"/>
      <c r="T24" s="264"/>
    </row>
    <row r="25" spans="1:20" ht="18.75" x14ac:dyDescent="0.25">
      <c r="A25" s="122"/>
      <c r="B25" s="584" t="s">
        <v>249</v>
      </c>
      <c r="C25" s="252"/>
      <c r="D25" s="252"/>
      <c r="E25" s="584" t="s">
        <v>250</v>
      </c>
      <c r="F25" s="284"/>
      <c r="G25" s="284"/>
      <c r="H25" s="592" t="s">
        <v>251</v>
      </c>
      <c r="I25" s="638"/>
      <c r="J25" s="592" t="s">
        <v>252</v>
      </c>
      <c r="K25" s="283"/>
      <c r="L25" s="673"/>
      <c r="M25" s="283"/>
      <c r="N25" s="591" t="s">
        <v>253</v>
      </c>
      <c r="O25" s="538" t="s">
        <v>254</v>
      </c>
      <c r="P25" s="592" t="s">
        <v>255</v>
      </c>
      <c r="Q25" s="278"/>
      <c r="S25" s="577"/>
      <c r="T25" s="264"/>
    </row>
    <row r="26" spans="1:20" ht="18.75" x14ac:dyDescent="0.25">
      <c r="A26" s="122"/>
      <c r="B26" s="584" t="s">
        <v>256</v>
      </c>
      <c r="C26" s="252"/>
      <c r="D26" s="252"/>
      <c r="E26" s="584" t="s">
        <v>257</v>
      </c>
      <c r="F26" s="290"/>
      <c r="G26" s="286"/>
      <c r="H26" s="592" t="s">
        <v>258</v>
      </c>
      <c r="I26" s="638" t="s">
        <v>259</v>
      </c>
      <c r="J26" s="592" t="s">
        <v>260</v>
      </c>
      <c r="K26" s="260"/>
      <c r="L26" s="539" t="s">
        <v>128</v>
      </c>
      <c r="M26" s="260"/>
      <c r="N26" s="591" t="s">
        <v>261</v>
      </c>
      <c r="O26" s="592" t="s">
        <v>262</v>
      </c>
      <c r="P26" s="592" t="s">
        <v>263</v>
      </c>
      <c r="Q26" s="252"/>
      <c r="T26" s="264"/>
    </row>
    <row r="27" spans="1:20" x14ac:dyDescent="0.25">
      <c r="A27" s="122"/>
      <c r="B27" s="584" t="s">
        <v>264</v>
      </c>
      <c r="C27" s="252"/>
      <c r="D27" s="252"/>
      <c r="E27" s="584" t="s">
        <v>265</v>
      </c>
      <c r="F27" s="290"/>
      <c r="G27" s="290"/>
      <c r="H27" s="592" t="s">
        <v>266</v>
      </c>
      <c r="I27" s="290"/>
      <c r="J27" s="638"/>
      <c r="K27" s="260"/>
      <c r="L27" s="592" t="s">
        <v>267</v>
      </c>
      <c r="M27" s="260"/>
      <c r="N27" s="591" t="s">
        <v>268</v>
      </c>
      <c r="O27" s="592" t="s">
        <v>269</v>
      </c>
      <c r="P27" s="592" t="s">
        <v>270</v>
      </c>
      <c r="Q27" s="252"/>
      <c r="T27" s="264"/>
    </row>
    <row r="28" spans="1:20" ht="18.75" x14ac:dyDescent="0.25">
      <c r="A28" s="122"/>
      <c r="B28" s="584" t="s">
        <v>271</v>
      </c>
      <c r="C28" s="252"/>
      <c r="D28" s="252"/>
      <c r="E28" s="584" t="s">
        <v>272</v>
      </c>
      <c r="F28" s="290"/>
      <c r="G28" s="290"/>
      <c r="H28" s="538" t="s">
        <v>273</v>
      </c>
      <c r="I28" s="290"/>
      <c r="J28" s="638"/>
      <c r="K28" s="252"/>
      <c r="L28" s="592" t="s">
        <v>274</v>
      </c>
      <c r="M28" s="252"/>
      <c r="N28" s="591" t="s">
        <v>275</v>
      </c>
      <c r="O28" s="592" t="s">
        <v>276</v>
      </c>
      <c r="P28" s="592" t="s">
        <v>277</v>
      </c>
      <c r="Q28" s="284"/>
      <c r="T28" s="264"/>
    </row>
    <row r="29" spans="1:20" x14ac:dyDescent="0.25">
      <c r="A29" s="122"/>
      <c r="B29" s="584" t="s">
        <v>278</v>
      </c>
      <c r="C29" s="252"/>
      <c r="D29" s="252"/>
      <c r="E29" s="584" t="s">
        <v>279</v>
      </c>
      <c r="F29" s="252"/>
      <c r="G29" s="290"/>
      <c r="H29" s="592" t="s">
        <v>280</v>
      </c>
      <c r="I29" s="290"/>
      <c r="J29" s="638"/>
      <c r="K29" s="252"/>
      <c r="L29" s="592" t="s">
        <v>281</v>
      </c>
      <c r="M29" s="252"/>
      <c r="N29" s="591" t="s">
        <v>282</v>
      </c>
      <c r="O29" s="592" t="s">
        <v>283</v>
      </c>
      <c r="P29" s="592" t="s">
        <v>284</v>
      </c>
      <c r="Q29" s="294"/>
      <c r="T29" s="264"/>
    </row>
    <row r="30" spans="1:20" x14ac:dyDescent="0.25">
      <c r="A30" s="122"/>
      <c r="B30" s="584" t="s">
        <v>285</v>
      </c>
      <c r="C30" s="252"/>
      <c r="D30" s="252"/>
      <c r="F30" s="294"/>
      <c r="G30" s="290"/>
      <c r="H30" s="592" t="s">
        <v>286</v>
      </c>
      <c r="I30" s="290"/>
      <c r="J30" s="290"/>
      <c r="K30" s="252"/>
      <c r="L30" s="589" t="s">
        <v>287</v>
      </c>
      <c r="M30" s="252"/>
      <c r="O30" s="592" t="s">
        <v>288</v>
      </c>
      <c r="P30" s="592" t="s">
        <v>289</v>
      </c>
      <c r="Q30" s="294"/>
      <c r="T30" s="264"/>
    </row>
    <row r="31" spans="1:20" ht="28.5" customHeight="1" x14ac:dyDescent="0.25">
      <c r="A31" s="122"/>
      <c r="B31" s="252"/>
      <c r="C31" s="252"/>
      <c r="D31" s="252"/>
      <c r="E31" s="252"/>
      <c r="F31" s="252"/>
      <c r="G31" s="252"/>
      <c r="H31" s="592" t="s">
        <v>290</v>
      </c>
      <c r="I31" s="670"/>
      <c r="J31" s="670"/>
      <c r="K31" s="670"/>
      <c r="L31" s="592" t="s">
        <v>291</v>
      </c>
      <c r="M31" s="670"/>
      <c r="N31" s="670"/>
      <c r="O31" s="592" t="s">
        <v>292</v>
      </c>
      <c r="P31" s="592" t="s">
        <v>293</v>
      </c>
      <c r="Q31" s="290"/>
      <c r="R31" s="290"/>
      <c r="T31" s="264"/>
    </row>
    <row r="32" spans="1:20" ht="20.25" x14ac:dyDescent="0.25">
      <c r="A32" s="122"/>
      <c r="B32" s="252"/>
      <c r="C32" s="252"/>
      <c r="D32" s="298"/>
      <c r="E32" s="252"/>
      <c r="F32" s="252"/>
      <c r="G32" s="252"/>
      <c r="H32" s="592" t="s">
        <v>294</v>
      </c>
      <c r="I32" s="670"/>
      <c r="J32" s="670"/>
      <c r="K32" s="670"/>
      <c r="L32" s="589" t="s">
        <v>295</v>
      </c>
      <c r="M32" s="670"/>
      <c r="N32" s="670"/>
      <c r="O32" s="592" t="s">
        <v>296</v>
      </c>
      <c r="P32" s="592" t="s">
        <v>297</v>
      </c>
      <c r="Q32" s="290"/>
      <c r="R32" s="290"/>
      <c r="T32" s="264"/>
    </row>
    <row r="33" spans="1:20" ht="17.25" customHeight="1" x14ac:dyDescent="0.25">
      <c r="A33" s="122"/>
      <c r="B33" s="252"/>
      <c r="C33" s="252"/>
      <c r="D33" s="298"/>
      <c r="E33" s="252"/>
      <c r="F33" s="252"/>
      <c r="G33" s="252"/>
      <c r="H33" s="638"/>
      <c r="I33" s="670"/>
      <c r="J33" s="670"/>
      <c r="K33" s="670"/>
      <c r="L33" s="589" t="s">
        <v>298</v>
      </c>
      <c r="M33" s="670"/>
      <c r="N33" s="670"/>
      <c r="O33" s="592" t="s">
        <v>299</v>
      </c>
      <c r="P33" s="592" t="s">
        <v>300</v>
      </c>
    </row>
    <row r="34" spans="1:20" ht="20.25" x14ac:dyDescent="0.25">
      <c r="A34" s="122"/>
      <c r="B34" s="670"/>
      <c r="C34" s="670"/>
      <c r="D34" s="298"/>
      <c r="E34" s="252"/>
      <c r="F34" s="252"/>
      <c r="G34" s="252"/>
      <c r="H34" s="670"/>
      <c r="I34" s="670"/>
      <c r="J34" s="670"/>
      <c r="K34" s="670"/>
      <c r="L34" s="592" t="s">
        <v>301</v>
      </c>
      <c r="M34" s="670"/>
      <c r="N34" s="670"/>
      <c r="O34" s="670"/>
      <c r="P34" s="592" t="s">
        <v>302</v>
      </c>
      <c r="Q34" s="670"/>
      <c r="R34" s="670"/>
      <c r="S34" s="670"/>
      <c r="T34" s="670"/>
    </row>
    <row r="35" spans="1:20" ht="20.25" x14ac:dyDescent="0.2">
      <c r="A35" s="669" t="s">
        <v>303</v>
      </c>
      <c r="B35" s="554" t="s">
        <v>304</v>
      </c>
      <c r="C35" s="554" t="s">
        <v>305</v>
      </c>
      <c r="D35" s="554"/>
      <c r="E35" s="252"/>
      <c r="F35" s="252"/>
      <c r="G35" s="252"/>
      <c r="H35" s="670"/>
      <c r="I35" s="670"/>
      <c r="J35" s="670"/>
      <c r="K35" s="670"/>
      <c r="L35" s="592" t="s">
        <v>306</v>
      </c>
      <c r="M35" s="670"/>
      <c r="N35" s="670"/>
      <c r="O35" s="670"/>
      <c r="P35" s="592" t="s">
        <v>307</v>
      </c>
      <c r="Q35" s="670"/>
      <c r="R35" s="670"/>
      <c r="S35" s="670"/>
      <c r="T35" s="670"/>
    </row>
    <row r="36" spans="1:20" ht="31.5" customHeight="1" x14ac:dyDescent="0.2">
      <c r="A36" s="130" t="s">
        <v>308</v>
      </c>
      <c r="B36" s="128">
        <v>41</v>
      </c>
      <c r="C36" s="128">
        <v>38</v>
      </c>
      <c r="D36" s="128"/>
      <c r="E36" s="298"/>
      <c r="F36" s="290"/>
      <c r="G36" s="290"/>
      <c r="H36" s="670"/>
      <c r="I36" s="290"/>
      <c r="J36" s="290"/>
      <c r="K36" s="254"/>
      <c r="L36" s="592" t="s">
        <v>265</v>
      </c>
      <c r="M36" s="670"/>
      <c r="N36" s="670"/>
      <c r="O36" s="670"/>
      <c r="P36" s="670"/>
      <c r="Q36" s="670"/>
      <c r="R36" s="670"/>
      <c r="S36" s="670"/>
      <c r="T36" s="670"/>
    </row>
    <row r="37" spans="1:20" ht="31.5" customHeight="1" x14ac:dyDescent="0.2">
      <c r="A37" s="130" t="s">
        <v>309</v>
      </c>
      <c r="B37" s="666">
        <v>41</v>
      </c>
      <c r="C37" s="666">
        <v>38</v>
      </c>
      <c r="D37" s="666"/>
      <c r="E37" s="298"/>
      <c r="F37" s="290"/>
      <c r="G37" s="290"/>
      <c r="H37" s="670"/>
      <c r="I37" s="290"/>
      <c r="J37" s="290"/>
      <c r="K37" s="254"/>
      <c r="L37" s="670"/>
      <c r="M37" s="254"/>
      <c r="O37" s="670"/>
      <c r="P37" s="670"/>
      <c r="Q37" s="670"/>
      <c r="R37" s="670"/>
      <c r="S37" s="670"/>
      <c r="T37" s="298"/>
    </row>
    <row r="38" spans="1:20" ht="31.5" customHeight="1" x14ac:dyDescent="0.2">
      <c r="A38" s="665" t="s">
        <v>310</v>
      </c>
      <c r="B38" s="128">
        <v>19</v>
      </c>
      <c r="C38" s="128">
        <v>20</v>
      </c>
      <c r="D38" s="128"/>
      <c r="E38" s="298"/>
      <c r="F38" s="290"/>
      <c r="G38" s="290"/>
      <c r="H38" s="290"/>
      <c r="I38" s="290"/>
      <c r="J38" s="290"/>
      <c r="K38" s="254"/>
      <c r="L38" s="670"/>
      <c r="M38" s="254"/>
      <c r="O38" s="577"/>
      <c r="P38" s="670"/>
      <c r="Q38" s="290"/>
      <c r="R38" s="290"/>
      <c r="T38" s="298"/>
    </row>
    <row r="39" spans="1:20" ht="20.25" x14ac:dyDescent="0.2">
      <c r="A39" s="130" t="s">
        <v>311</v>
      </c>
      <c r="B39" s="129">
        <v>77</v>
      </c>
      <c r="C39" s="129">
        <v>86</v>
      </c>
      <c r="D39" s="129"/>
      <c r="E39" s="298"/>
      <c r="F39" s="290"/>
      <c r="G39" s="290"/>
      <c r="I39" s="252"/>
      <c r="J39" s="290"/>
      <c r="K39" s="254"/>
      <c r="L39" s="670"/>
      <c r="M39" s="254"/>
      <c r="N39" s="638"/>
      <c r="P39" s="670"/>
      <c r="Q39" s="290"/>
      <c r="R39" s="290"/>
      <c r="T39" s="298"/>
    </row>
    <row r="40" spans="1:20" ht="27.75" customHeight="1" x14ac:dyDescent="0.25">
      <c r="A40" s="122"/>
      <c r="B40" s="298"/>
      <c r="C40" s="290"/>
      <c r="D40" s="290"/>
      <c r="E40" s="254"/>
      <c r="F40" s="290"/>
      <c r="G40" s="290"/>
      <c r="H40" s="290"/>
      <c r="I40" s="252"/>
      <c r="J40" s="290"/>
      <c r="K40" s="254"/>
      <c r="L40" s="670"/>
      <c r="M40" s="254"/>
      <c r="N40" s="638"/>
      <c r="O40" s="124"/>
      <c r="P40" s="670"/>
      <c r="Q40" s="290"/>
      <c r="R40" s="290"/>
      <c r="T40" s="298"/>
    </row>
    <row r="41" spans="1:20" ht="20.25" x14ac:dyDescent="0.25">
      <c r="A41" s="122"/>
      <c r="B41" s="298"/>
      <c r="C41" s="298"/>
      <c r="D41" s="298"/>
      <c r="E41" s="254"/>
      <c r="F41" s="290"/>
      <c r="G41" s="252"/>
      <c r="H41" s="252"/>
      <c r="I41" s="252"/>
      <c r="J41" s="290"/>
      <c r="K41" s="254"/>
      <c r="L41" s="254"/>
      <c r="M41" s="254"/>
      <c r="N41" s="254"/>
      <c r="O41" s="124"/>
      <c r="P41" s="670"/>
      <c r="Q41" s="290"/>
      <c r="R41" s="290"/>
      <c r="T41" s="298"/>
    </row>
    <row r="42" spans="1:20" ht="15.75" customHeight="1" x14ac:dyDescent="0.2">
      <c r="P42" s="577"/>
    </row>
    <row r="43" spans="1:20" ht="1.5" hidden="1" customHeight="1" x14ac:dyDescent="0.2"/>
    <row r="44" spans="1:20" ht="15.75" customHeight="1" x14ac:dyDescent="0.25">
      <c r="C44" s="13"/>
      <c r="D44" s="13"/>
      <c r="E44" s="13"/>
      <c r="F44" s="306"/>
      <c r="G44" s="306"/>
      <c r="H44" s="306"/>
      <c r="I44" s="306"/>
      <c r="J44" s="306"/>
      <c r="K44" s="13"/>
      <c r="L44" s="13"/>
      <c r="M44" s="13"/>
      <c r="N44" s="13"/>
      <c r="O44" s="13"/>
      <c r="Q44" s="306"/>
      <c r="R44" s="306"/>
    </row>
    <row r="46" spans="1:20" ht="15.75" customHeight="1" x14ac:dyDescent="0.2">
      <c r="S46" s="670"/>
    </row>
    <row r="47" spans="1:20" ht="15.75" customHeight="1" x14ac:dyDescent="0.2">
      <c r="S47" s="670"/>
    </row>
    <row r="48" spans="1:20" ht="15.75" customHeight="1" x14ac:dyDescent="0.2">
      <c r="S48" s="676"/>
    </row>
    <row r="49" spans="19:19" ht="15.75" customHeight="1" x14ac:dyDescent="0.2">
      <c r="S49" s="676"/>
    </row>
  </sheetData>
  <autoFilter ref="A12:T12" xr:uid="{5FBD3C50-9008-433F-97B6-54FC21EB7D8C}"/>
  <conditionalFormatting sqref="A5:T5">
    <cfRule type="notContainsBlanks" dxfId="38" priority="1">
      <formula>LEN(TRIM(A5))&gt;0</formula>
    </cfRule>
  </conditionalFormatting>
  <printOptions horizontalCentered="1"/>
  <pageMargins left="0.7" right="0.7" top="0.75" bottom="0.75" header="0" footer="0"/>
  <pageSetup paperSize="3" scale="92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62E4-9E5E-4C85-AFEB-38CCAD6E5331}">
  <dimension ref="A2:F248"/>
  <sheetViews>
    <sheetView topLeftCell="A64" workbookViewId="0">
      <selection activeCell="C94" sqref="C94"/>
    </sheetView>
  </sheetViews>
  <sheetFormatPr defaultColWidth="8.85546875" defaultRowHeight="12.75" x14ac:dyDescent="0.2"/>
  <sheetData>
    <row r="2" spans="1:2" ht="17.25" x14ac:dyDescent="0.25">
      <c r="A2" s="688" t="s">
        <v>312</v>
      </c>
    </row>
    <row r="3" spans="1:2" x14ac:dyDescent="0.2">
      <c r="A3" t="s">
        <v>313</v>
      </c>
    </row>
    <row r="4" spans="1:2" x14ac:dyDescent="0.2">
      <c r="A4" t="s">
        <v>314</v>
      </c>
    </row>
    <row r="5" spans="1:2" ht="15.75" x14ac:dyDescent="0.25">
      <c r="A5" s="689" t="s">
        <v>315</v>
      </c>
    </row>
    <row r="6" spans="1:2" x14ac:dyDescent="0.2">
      <c r="A6" t="s">
        <v>316</v>
      </c>
    </row>
    <row r="7" spans="1:2" x14ac:dyDescent="0.2">
      <c r="A7" t="s">
        <v>317</v>
      </c>
    </row>
    <row r="8" spans="1:2" x14ac:dyDescent="0.2">
      <c r="A8" t="s">
        <v>318</v>
      </c>
    </row>
    <row r="9" spans="1:2" x14ac:dyDescent="0.2">
      <c r="B9" t="s">
        <v>319</v>
      </c>
    </row>
    <row r="10" spans="1:2" x14ac:dyDescent="0.2">
      <c r="B10" t="s">
        <v>320</v>
      </c>
    </row>
    <row r="11" spans="1:2" x14ac:dyDescent="0.2">
      <c r="B11" t="s">
        <v>321</v>
      </c>
    </row>
    <row r="12" spans="1:2" x14ac:dyDescent="0.2">
      <c r="B12" t="s">
        <v>322</v>
      </c>
    </row>
    <row r="13" spans="1:2" x14ac:dyDescent="0.2">
      <c r="A13" t="s">
        <v>323</v>
      </c>
    </row>
    <row r="14" spans="1:2" x14ac:dyDescent="0.2">
      <c r="B14" t="s">
        <v>324</v>
      </c>
    </row>
    <row r="15" spans="1:2" x14ac:dyDescent="0.2">
      <c r="B15" s="690">
        <v>1</v>
      </c>
    </row>
    <row r="16" spans="1:2" x14ac:dyDescent="0.2">
      <c r="B16" t="s">
        <v>325</v>
      </c>
    </row>
    <row r="17" spans="1:4" x14ac:dyDescent="0.2">
      <c r="B17" s="690">
        <v>0.8</v>
      </c>
    </row>
    <row r="18" spans="1:4" x14ac:dyDescent="0.2">
      <c r="B18" t="s">
        <v>325</v>
      </c>
    </row>
    <row r="19" spans="1:4" x14ac:dyDescent="0.2">
      <c r="B19" s="690">
        <v>0.6</v>
      </c>
    </row>
    <row r="20" spans="1:4" x14ac:dyDescent="0.2">
      <c r="B20" t="s">
        <v>326</v>
      </c>
    </row>
    <row r="21" spans="1:4" x14ac:dyDescent="0.2">
      <c r="B21" s="683" t="s">
        <v>327</v>
      </c>
    </row>
    <row r="22" spans="1:4" x14ac:dyDescent="0.2">
      <c r="C22" t="s">
        <v>328</v>
      </c>
    </row>
    <row r="23" spans="1:4" x14ac:dyDescent="0.2">
      <c r="D23" s="683" t="s">
        <v>329</v>
      </c>
    </row>
    <row r="24" spans="1:4" x14ac:dyDescent="0.2">
      <c r="D24" s="683" t="s">
        <v>330</v>
      </c>
    </row>
    <row r="25" spans="1:4" x14ac:dyDescent="0.2">
      <c r="C25" t="s">
        <v>331</v>
      </c>
    </row>
    <row r="26" spans="1:4" x14ac:dyDescent="0.2">
      <c r="D26" s="683" t="s">
        <v>329</v>
      </c>
    </row>
    <row r="27" spans="1:4" x14ac:dyDescent="0.2">
      <c r="D27" s="683" t="s">
        <v>332</v>
      </c>
    </row>
    <row r="28" spans="1:4" x14ac:dyDescent="0.2">
      <c r="A28" t="s">
        <v>333</v>
      </c>
    </row>
    <row r="29" spans="1:4" ht="15.75" x14ac:dyDescent="0.25">
      <c r="A29" s="689" t="s">
        <v>334</v>
      </c>
    </row>
    <row r="30" spans="1:4" x14ac:dyDescent="0.2">
      <c r="A30" t="s">
        <v>335</v>
      </c>
    </row>
    <row r="31" spans="1:4" x14ac:dyDescent="0.2">
      <c r="A31" t="s">
        <v>336</v>
      </c>
    </row>
    <row r="32" spans="1:4" x14ac:dyDescent="0.2">
      <c r="A32" t="s">
        <v>337</v>
      </c>
    </row>
    <row r="33" spans="1:3" x14ac:dyDescent="0.2">
      <c r="A33" t="s">
        <v>338</v>
      </c>
    </row>
    <row r="34" spans="1:3" x14ac:dyDescent="0.2">
      <c r="A34" t="s">
        <v>339</v>
      </c>
    </row>
    <row r="35" spans="1:3" x14ac:dyDescent="0.2">
      <c r="A35" t="s">
        <v>340</v>
      </c>
    </row>
    <row r="36" spans="1:3" x14ac:dyDescent="0.2">
      <c r="A36" t="s">
        <v>338</v>
      </c>
    </row>
    <row r="37" spans="1:3" x14ac:dyDescent="0.2">
      <c r="A37" t="s">
        <v>341</v>
      </c>
    </row>
    <row r="38" spans="1:3" x14ac:dyDescent="0.2">
      <c r="A38" t="s">
        <v>342</v>
      </c>
    </row>
    <row r="39" spans="1:3" x14ac:dyDescent="0.2">
      <c r="A39" t="s">
        <v>338</v>
      </c>
    </row>
    <row r="40" spans="1:3" x14ac:dyDescent="0.2">
      <c r="A40" t="s">
        <v>343</v>
      </c>
    </row>
    <row r="41" spans="1:3" x14ac:dyDescent="0.2">
      <c r="A41" t="s">
        <v>344</v>
      </c>
    </row>
    <row r="42" spans="1:3" x14ac:dyDescent="0.2">
      <c r="A42" t="s">
        <v>338</v>
      </c>
    </row>
    <row r="43" spans="1:3" x14ac:dyDescent="0.2">
      <c r="A43" t="s">
        <v>345</v>
      </c>
    </row>
    <row r="44" spans="1:3" x14ac:dyDescent="0.2">
      <c r="A44" t="s">
        <v>346</v>
      </c>
    </row>
    <row r="45" spans="1:3" x14ac:dyDescent="0.2">
      <c r="A45">
        <v>1</v>
      </c>
      <c r="B45" s="683" t="s">
        <v>347</v>
      </c>
    </row>
    <row r="46" spans="1:3" x14ac:dyDescent="0.2">
      <c r="C46" t="s">
        <v>348</v>
      </c>
    </row>
    <row r="47" spans="1:3" x14ac:dyDescent="0.2">
      <c r="C47" s="690">
        <v>0.8</v>
      </c>
    </row>
    <row r="48" spans="1:3" x14ac:dyDescent="0.2">
      <c r="C48" t="s">
        <v>325</v>
      </c>
    </row>
    <row r="49" spans="1:3" x14ac:dyDescent="0.2">
      <c r="C49" s="690">
        <v>0.6</v>
      </c>
    </row>
    <row r="50" spans="1:3" x14ac:dyDescent="0.2">
      <c r="C50" t="s">
        <v>349</v>
      </c>
    </row>
    <row r="51" spans="1:3" x14ac:dyDescent="0.2">
      <c r="C51" t="s">
        <v>350</v>
      </c>
    </row>
    <row r="52" spans="1:3" x14ac:dyDescent="0.2">
      <c r="C52" t="s">
        <v>351</v>
      </c>
    </row>
    <row r="53" spans="1:3" x14ac:dyDescent="0.2">
      <c r="A53">
        <v>2</v>
      </c>
      <c r="B53" s="683" t="s">
        <v>352</v>
      </c>
    </row>
    <row r="54" spans="1:3" x14ac:dyDescent="0.2">
      <c r="C54" t="s">
        <v>353</v>
      </c>
    </row>
    <row r="55" spans="1:3" x14ac:dyDescent="0.2">
      <c r="C55" t="s">
        <v>354</v>
      </c>
    </row>
    <row r="56" spans="1:3" x14ac:dyDescent="0.2">
      <c r="C56" t="s">
        <v>355</v>
      </c>
    </row>
    <row r="57" spans="1:3" x14ac:dyDescent="0.2">
      <c r="C57" t="s">
        <v>356</v>
      </c>
    </row>
    <row r="58" spans="1:3" x14ac:dyDescent="0.2">
      <c r="C58" t="s">
        <v>338</v>
      </c>
    </row>
    <row r="59" spans="1:3" x14ac:dyDescent="0.2">
      <c r="C59" t="s">
        <v>353</v>
      </c>
    </row>
    <row r="60" spans="1:3" x14ac:dyDescent="0.2">
      <c r="C60" t="s">
        <v>354</v>
      </c>
    </row>
    <row r="61" spans="1:3" x14ac:dyDescent="0.2">
      <c r="C61" t="s">
        <v>357</v>
      </c>
    </row>
    <row r="62" spans="1:3" x14ac:dyDescent="0.2">
      <c r="C62" t="s">
        <v>358</v>
      </c>
    </row>
    <row r="63" spans="1:3" x14ac:dyDescent="0.2">
      <c r="C63" t="s">
        <v>338</v>
      </c>
    </row>
    <row r="64" spans="1:3" x14ac:dyDescent="0.2">
      <c r="A64">
        <v>3</v>
      </c>
      <c r="B64" s="683" t="s">
        <v>359</v>
      </c>
    </row>
    <row r="65" spans="1:5" x14ac:dyDescent="0.2">
      <c r="C65" t="s">
        <v>360</v>
      </c>
    </row>
    <row r="66" spans="1:5" x14ac:dyDescent="0.2">
      <c r="D66" t="s">
        <v>361</v>
      </c>
    </row>
    <row r="67" spans="1:5" x14ac:dyDescent="0.2">
      <c r="D67" t="s">
        <v>356</v>
      </c>
    </row>
    <row r="68" spans="1:5" x14ac:dyDescent="0.2">
      <c r="D68" t="s">
        <v>362</v>
      </c>
    </row>
    <row r="69" spans="1:5" x14ac:dyDescent="0.2">
      <c r="E69" t="s">
        <v>363</v>
      </c>
    </row>
    <row r="70" spans="1:5" x14ac:dyDescent="0.2">
      <c r="E70" t="s">
        <v>364</v>
      </c>
    </row>
    <row r="71" spans="1:5" x14ac:dyDescent="0.2">
      <c r="E71" t="s">
        <v>365</v>
      </c>
    </row>
    <row r="72" spans="1:5" x14ac:dyDescent="0.2">
      <c r="E72" t="s">
        <v>366</v>
      </c>
    </row>
    <row r="73" spans="1:5" x14ac:dyDescent="0.2">
      <c r="D73" t="s">
        <v>361</v>
      </c>
    </row>
    <row r="74" spans="1:5" x14ac:dyDescent="0.2">
      <c r="D74" t="s">
        <v>358</v>
      </c>
    </row>
    <row r="75" spans="1:5" x14ac:dyDescent="0.2">
      <c r="D75" t="s">
        <v>362</v>
      </c>
    </row>
    <row r="76" spans="1:5" x14ac:dyDescent="0.2">
      <c r="E76" t="s">
        <v>363</v>
      </c>
    </row>
    <row r="77" spans="1:5" x14ac:dyDescent="0.2">
      <c r="E77" t="s">
        <v>364</v>
      </c>
    </row>
    <row r="78" spans="1:5" x14ac:dyDescent="0.2">
      <c r="E78" t="s">
        <v>367</v>
      </c>
    </row>
    <row r="79" spans="1:5" x14ac:dyDescent="0.2">
      <c r="E79" t="s">
        <v>366</v>
      </c>
    </row>
    <row r="80" spans="1:5" x14ac:dyDescent="0.2">
      <c r="A80">
        <v>4</v>
      </c>
      <c r="B80" s="683" t="s">
        <v>368</v>
      </c>
    </row>
    <row r="81" spans="3:4" x14ac:dyDescent="0.2">
      <c r="C81" t="s">
        <v>369</v>
      </c>
    </row>
    <row r="82" spans="3:4" x14ac:dyDescent="0.2">
      <c r="C82" t="s">
        <v>370</v>
      </c>
    </row>
    <row r="83" spans="3:4" x14ac:dyDescent="0.2">
      <c r="C83" t="s">
        <v>371</v>
      </c>
    </row>
    <row r="84" spans="3:4" x14ac:dyDescent="0.2">
      <c r="C84" s="690">
        <v>1</v>
      </c>
    </row>
    <row r="85" spans="3:4" x14ac:dyDescent="0.2">
      <c r="C85" t="s">
        <v>325</v>
      </c>
    </row>
    <row r="86" spans="3:4" x14ac:dyDescent="0.2">
      <c r="C86" s="690">
        <v>0.8</v>
      </c>
    </row>
    <row r="87" spans="3:4" x14ac:dyDescent="0.2">
      <c r="C87" t="s">
        <v>325</v>
      </c>
    </row>
    <row r="88" spans="3:4" x14ac:dyDescent="0.2">
      <c r="C88" s="690">
        <v>0.6</v>
      </c>
    </row>
    <row r="89" spans="3:4" x14ac:dyDescent="0.2">
      <c r="C89" t="s">
        <v>372</v>
      </c>
    </row>
    <row r="90" spans="3:4" x14ac:dyDescent="0.2">
      <c r="C90" t="s">
        <v>373</v>
      </c>
    </row>
    <row r="91" spans="3:4" x14ac:dyDescent="0.2">
      <c r="D91" s="690">
        <v>1</v>
      </c>
    </row>
    <row r="92" spans="3:4" x14ac:dyDescent="0.2">
      <c r="D92" t="s">
        <v>374</v>
      </c>
    </row>
    <row r="93" spans="3:4" x14ac:dyDescent="0.2">
      <c r="D93">
        <v>1</v>
      </c>
    </row>
    <row r="94" spans="3:4" x14ac:dyDescent="0.2">
      <c r="D94" s="690">
        <v>0.8</v>
      </c>
    </row>
    <row r="95" spans="3:4" x14ac:dyDescent="0.2">
      <c r="D95" t="s">
        <v>374</v>
      </c>
    </row>
    <row r="96" spans="3:4" x14ac:dyDescent="0.2">
      <c r="D96">
        <v>0.8</v>
      </c>
    </row>
    <row r="97" spans="1:4" x14ac:dyDescent="0.2">
      <c r="D97" t="s">
        <v>326</v>
      </c>
    </row>
    <row r="98" spans="1:4" x14ac:dyDescent="0.2">
      <c r="C98" t="s">
        <v>375</v>
      </c>
    </row>
    <row r="99" spans="1:4" x14ac:dyDescent="0.2">
      <c r="A99">
        <v>5</v>
      </c>
      <c r="B99" s="683" t="s">
        <v>376</v>
      </c>
    </row>
    <row r="100" spans="1:4" x14ac:dyDescent="0.2">
      <c r="C100" t="s">
        <v>377</v>
      </c>
    </row>
    <row r="101" spans="1:4" x14ac:dyDescent="0.2">
      <c r="C101" t="s">
        <v>378</v>
      </c>
    </row>
    <row r="102" spans="1:4" x14ac:dyDescent="0.2">
      <c r="C102" t="s">
        <v>379</v>
      </c>
    </row>
    <row r="103" spans="1:4" x14ac:dyDescent="0.2">
      <c r="C103" t="s">
        <v>380</v>
      </c>
    </row>
    <row r="104" spans="1:4" x14ac:dyDescent="0.2">
      <c r="C104" t="s">
        <v>381</v>
      </c>
    </row>
    <row r="105" spans="1:4" x14ac:dyDescent="0.2">
      <c r="C105" t="s">
        <v>356</v>
      </c>
    </row>
    <row r="106" spans="1:4" x14ac:dyDescent="0.2">
      <c r="C106" t="s">
        <v>325</v>
      </c>
    </row>
    <row r="107" spans="1:4" x14ac:dyDescent="0.2">
      <c r="C107" t="s">
        <v>358</v>
      </c>
    </row>
    <row r="108" spans="1:4" x14ac:dyDescent="0.2">
      <c r="C108" t="s">
        <v>382</v>
      </c>
    </row>
    <row r="109" spans="1:4" x14ac:dyDescent="0.2">
      <c r="C109" t="s">
        <v>383</v>
      </c>
    </row>
    <row r="110" spans="1:4" x14ac:dyDescent="0.2">
      <c r="C110" t="s">
        <v>381</v>
      </c>
    </row>
    <row r="111" spans="1:4" x14ac:dyDescent="0.2">
      <c r="C111" t="s">
        <v>364</v>
      </c>
    </row>
    <row r="112" spans="1:4" x14ac:dyDescent="0.2">
      <c r="C112" t="s">
        <v>325</v>
      </c>
    </row>
    <row r="113" spans="1:3" x14ac:dyDescent="0.2">
      <c r="C113" t="s">
        <v>366</v>
      </c>
    </row>
    <row r="114" spans="1:3" x14ac:dyDescent="0.2">
      <c r="C114" t="s">
        <v>382</v>
      </c>
    </row>
    <row r="115" spans="1:3" x14ac:dyDescent="0.2">
      <c r="C115" t="s">
        <v>384</v>
      </c>
    </row>
    <row r="116" spans="1:3" x14ac:dyDescent="0.2">
      <c r="C116" t="s">
        <v>385</v>
      </c>
    </row>
    <row r="117" spans="1:3" x14ac:dyDescent="0.2">
      <c r="C117" t="s">
        <v>386</v>
      </c>
    </row>
    <row r="118" spans="1:3" x14ac:dyDescent="0.2">
      <c r="C118" t="s">
        <v>387</v>
      </c>
    </row>
    <row r="119" spans="1:3" ht="15.75" x14ac:dyDescent="0.25">
      <c r="A119" s="689" t="s">
        <v>388</v>
      </c>
    </row>
    <row r="120" spans="1:3" x14ac:dyDescent="0.2">
      <c r="A120" t="s">
        <v>389</v>
      </c>
    </row>
    <row r="121" spans="1:3" x14ac:dyDescent="0.2">
      <c r="A121" t="s">
        <v>390</v>
      </c>
    </row>
    <row r="122" spans="1:3" x14ac:dyDescent="0.2">
      <c r="A122" t="s">
        <v>377</v>
      </c>
    </row>
    <row r="123" spans="1:3" x14ac:dyDescent="0.2">
      <c r="A123" t="s">
        <v>391</v>
      </c>
    </row>
    <row r="124" spans="1:3" x14ac:dyDescent="0.2">
      <c r="A124" t="s">
        <v>392</v>
      </c>
    </row>
    <row r="125" spans="1:3" x14ac:dyDescent="0.2">
      <c r="A125">
        <v>1</v>
      </c>
      <c r="B125" t="s">
        <v>393</v>
      </c>
    </row>
    <row r="126" spans="1:3" x14ac:dyDescent="0.2">
      <c r="B126" t="s">
        <v>377</v>
      </c>
    </row>
    <row r="127" spans="1:3" x14ac:dyDescent="0.2">
      <c r="B127" t="s">
        <v>338</v>
      </c>
    </row>
    <row r="128" spans="1:3" x14ac:dyDescent="0.2">
      <c r="A128">
        <v>2</v>
      </c>
      <c r="B128" t="s">
        <v>394</v>
      </c>
    </row>
    <row r="129" spans="1:3" x14ac:dyDescent="0.2">
      <c r="C129" t="s">
        <v>395</v>
      </c>
    </row>
    <row r="130" spans="1:3" x14ac:dyDescent="0.2">
      <c r="C130" t="s">
        <v>396</v>
      </c>
    </row>
    <row r="131" spans="1:3" x14ac:dyDescent="0.2">
      <c r="C131" t="s">
        <v>397</v>
      </c>
    </row>
    <row r="132" spans="1:3" x14ac:dyDescent="0.2">
      <c r="C132" t="s">
        <v>395</v>
      </c>
    </row>
    <row r="133" spans="1:3" x14ac:dyDescent="0.2">
      <c r="C133" t="s">
        <v>398</v>
      </c>
    </row>
    <row r="134" spans="1:3" x14ac:dyDescent="0.2">
      <c r="C134" s="691" t="s">
        <v>399</v>
      </c>
    </row>
    <row r="135" spans="1:3" x14ac:dyDescent="0.2">
      <c r="C135" t="s">
        <v>384</v>
      </c>
    </row>
    <row r="136" spans="1:3" x14ac:dyDescent="0.2">
      <c r="C136" t="s">
        <v>338</v>
      </c>
    </row>
    <row r="137" spans="1:3" x14ac:dyDescent="0.2">
      <c r="C137" t="s">
        <v>395</v>
      </c>
    </row>
    <row r="138" spans="1:3" x14ac:dyDescent="0.2">
      <c r="C138" t="s">
        <v>400</v>
      </c>
    </row>
    <row r="139" spans="1:3" x14ac:dyDescent="0.2">
      <c r="C139" s="691" t="s">
        <v>401</v>
      </c>
    </row>
    <row r="140" spans="1:3" x14ac:dyDescent="0.2">
      <c r="C140" t="s">
        <v>384</v>
      </c>
    </row>
    <row r="141" spans="1:3" x14ac:dyDescent="0.2">
      <c r="C141" t="s">
        <v>402</v>
      </c>
    </row>
    <row r="142" spans="1:3" x14ac:dyDescent="0.2">
      <c r="A142">
        <v>3</v>
      </c>
      <c r="B142" t="s">
        <v>403</v>
      </c>
    </row>
    <row r="143" spans="1:3" x14ac:dyDescent="0.2">
      <c r="C143" t="s">
        <v>404</v>
      </c>
    </row>
    <row r="144" spans="1:3" x14ac:dyDescent="0.2">
      <c r="A144">
        <v>4</v>
      </c>
      <c r="B144" t="s">
        <v>405</v>
      </c>
    </row>
    <row r="145" spans="3:6" x14ac:dyDescent="0.2">
      <c r="C145" s="683" t="s">
        <v>353</v>
      </c>
    </row>
    <row r="146" spans="3:6" x14ac:dyDescent="0.2">
      <c r="C146" s="683" t="s">
        <v>406</v>
      </c>
    </row>
    <row r="147" spans="3:6" x14ac:dyDescent="0.2">
      <c r="C147" s="683" t="s">
        <v>407</v>
      </c>
    </row>
    <row r="148" spans="3:6" x14ac:dyDescent="0.2">
      <c r="D148" t="s">
        <v>408</v>
      </c>
    </row>
    <row r="149" spans="3:6" x14ac:dyDescent="0.2">
      <c r="E149" t="s">
        <v>409</v>
      </c>
    </row>
    <row r="150" spans="3:6" x14ac:dyDescent="0.2">
      <c r="F150" t="s">
        <v>410</v>
      </c>
    </row>
    <row r="151" spans="3:6" x14ac:dyDescent="0.2">
      <c r="D151" t="s">
        <v>411</v>
      </c>
    </row>
    <row r="152" spans="3:6" x14ac:dyDescent="0.2">
      <c r="C152" s="683" t="s">
        <v>353</v>
      </c>
    </row>
    <row r="153" spans="3:6" x14ac:dyDescent="0.2">
      <c r="C153" s="683" t="s">
        <v>406</v>
      </c>
    </row>
    <row r="154" spans="3:6" x14ac:dyDescent="0.2">
      <c r="C154" s="692" t="s">
        <v>412</v>
      </c>
    </row>
    <row r="155" spans="3:6" x14ac:dyDescent="0.2">
      <c r="D155" t="s">
        <v>413</v>
      </c>
    </row>
    <row r="156" spans="3:6" x14ac:dyDescent="0.2">
      <c r="D156" t="s">
        <v>414</v>
      </c>
    </row>
    <row r="157" spans="3:6" x14ac:dyDescent="0.2">
      <c r="C157" s="683" t="s">
        <v>353</v>
      </c>
    </row>
    <row r="158" spans="3:6" x14ac:dyDescent="0.2">
      <c r="C158" s="683" t="s">
        <v>406</v>
      </c>
    </row>
    <row r="159" spans="3:6" x14ac:dyDescent="0.2">
      <c r="C159" s="683" t="s">
        <v>415</v>
      </c>
    </row>
    <row r="160" spans="3:6" x14ac:dyDescent="0.2">
      <c r="D160" t="s">
        <v>395</v>
      </c>
    </row>
    <row r="161" spans="1:6" x14ac:dyDescent="0.2">
      <c r="D161" t="s">
        <v>416</v>
      </c>
    </row>
    <row r="162" spans="1:6" x14ac:dyDescent="0.2">
      <c r="D162" t="s">
        <v>338</v>
      </c>
    </row>
    <row r="163" spans="1:6" x14ac:dyDescent="0.2">
      <c r="D163" t="s">
        <v>417</v>
      </c>
    </row>
    <row r="164" spans="1:6" x14ac:dyDescent="0.2">
      <c r="E164" t="s">
        <v>418</v>
      </c>
    </row>
    <row r="165" spans="1:6" x14ac:dyDescent="0.2">
      <c r="E165" t="s">
        <v>419</v>
      </c>
    </row>
    <row r="166" spans="1:6" x14ac:dyDescent="0.2">
      <c r="E166" t="s">
        <v>362</v>
      </c>
    </row>
    <row r="167" spans="1:6" x14ac:dyDescent="0.2">
      <c r="F167" t="s">
        <v>420</v>
      </c>
    </row>
    <row r="168" spans="1:6" x14ac:dyDescent="0.2">
      <c r="D168" t="s">
        <v>421</v>
      </c>
    </row>
    <row r="169" spans="1:6" x14ac:dyDescent="0.2">
      <c r="E169" t="s">
        <v>422</v>
      </c>
    </row>
    <row r="170" spans="1:6" x14ac:dyDescent="0.2">
      <c r="A170">
        <v>5</v>
      </c>
      <c r="B170" t="s">
        <v>423</v>
      </c>
    </row>
    <row r="171" spans="1:6" x14ac:dyDescent="0.2">
      <c r="B171" t="s">
        <v>424</v>
      </c>
    </row>
    <row r="172" spans="1:6" x14ac:dyDescent="0.2">
      <c r="B172" t="s">
        <v>425</v>
      </c>
    </row>
    <row r="173" spans="1:6" x14ac:dyDescent="0.2">
      <c r="C173" t="s">
        <v>426</v>
      </c>
    </row>
    <row r="174" spans="1:6" x14ac:dyDescent="0.2">
      <c r="C174" t="s">
        <v>427</v>
      </c>
    </row>
    <row r="175" spans="1:6" x14ac:dyDescent="0.2">
      <c r="C175" t="s">
        <v>428</v>
      </c>
    </row>
    <row r="176" spans="1:6" ht="15.75" x14ac:dyDescent="0.25">
      <c r="A176" s="689" t="s">
        <v>429</v>
      </c>
    </row>
    <row r="177" spans="1:1" x14ac:dyDescent="0.2">
      <c r="A177" t="s">
        <v>430</v>
      </c>
    </row>
    <row r="178" spans="1:1" x14ac:dyDescent="0.2">
      <c r="A178" t="s">
        <v>424</v>
      </c>
    </row>
    <row r="179" spans="1:1" x14ac:dyDescent="0.2">
      <c r="A179" t="s">
        <v>431</v>
      </c>
    </row>
    <row r="180" spans="1:1" x14ac:dyDescent="0.2">
      <c r="A180" t="s">
        <v>432</v>
      </c>
    </row>
    <row r="181" spans="1:1" x14ac:dyDescent="0.2">
      <c r="A181" t="s">
        <v>379</v>
      </c>
    </row>
    <row r="182" spans="1:1" x14ac:dyDescent="0.2">
      <c r="A182" t="s">
        <v>433</v>
      </c>
    </row>
    <row r="183" spans="1:1" x14ac:dyDescent="0.2">
      <c r="A183" t="s">
        <v>434</v>
      </c>
    </row>
    <row r="184" spans="1:1" x14ac:dyDescent="0.2">
      <c r="A184" s="691" t="s">
        <v>435</v>
      </c>
    </row>
    <row r="185" spans="1:1" x14ac:dyDescent="0.2">
      <c r="A185" t="s">
        <v>424</v>
      </c>
    </row>
    <row r="186" spans="1:1" x14ac:dyDescent="0.2">
      <c r="A186" t="s">
        <v>436</v>
      </c>
    </row>
    <row r="187" spans="1:1" x14ac:dyDescent="0.2">
      <c r="A187" t="s">
        <v>437</v>
      </c>
    </row>
    <row r="188" spans="1:1" x14ac:dyDescent="0.2">
      <c r="A188" t="s">
        <v>438</v>
      </c>
    </row>
    <row r="189" spans="1:1" x14ac:dyDescent="0.2">
      <c r="A189" t="s">
        <v>439</v>
      </c>
    </row>
    <row r="190" spans="1:1" x14ac:dyDescent="0.2">
      <c r="A190" t="s">
        <v>440</v>
      </c>
    </row>
    <row r="191" spans="1:1" x14ac:dyDescent="0.2">
      <c r="A191" s="691" t="s">
        <v>435</v>
      </c>
    </row>
    <row r="192" spans="1:1" x14ac:dyDescent="0.2">
      <c r="A192" t="s">
        <v>424</v>
      </c>
    </row>
    <row r="193" spans="1:1" x14ac:dyDescent="0.2">
      <c r="A193" t="s">
        <v>436</v>
      </c>
    </row>
    <row r="194" spans="1:1" x14ac:dyDescent="0.2">
      <c r="A194" t="s">
        <v>437</v>
      </c>
    </row>
    <row r="195" spans="1:1" x14ac:dyDescent="0.2">
      <c r="A195" t="s">
        <v>438</v>
      </c>
    </row>
    <row r="196" spans="1:1" x14ac:dyDescent="0.2">
      <c r="A196" t="s">
        <v>441</v>
      </c>
    </row>
    <row r="197" spans="1:1" x14ac:dyDescent="0.2">
      <c r="A197" t="s">
        <v>442</v>
      </c>
    </row>
    <row r="198" spans="1:1" x14ac:dyDescent="0.2">
      <c r="A198" s="691" t="s">
        <v>435</v>
      </c>
    </row>
    <row r="199" spans="1:1" x14ac:dyDescent="0.2">
      <c r="A199" t="s">
        <v>424</v>
      </c>
    </row>
    <row r="200" spans="1:1" x14ac:dyDescent="0.2">
      <c r="A200" t="s">
        <v>436</v>
      </c>
    </row>
    <row r="201" spans="1:1" x14ac:dyDescent="0.2">
      <c r="A201" t="s">
        <v>443</v>
      </c>
    </row>
    <row r="202" spans="1:1" x14ac:dyDescent="0.2">
      <c r="A202" t="s">
        <v>438</v>
      </c>
    </row>
    <row r="203" spans="1:1" x14ac:dyDescent="0.2">
      <c r="A203" t="s">
        <v>439</v>
      </c>
    </row>
    <row r="204" spans="1:1" x14ac:dyDescent="0.2">
      <c r="A204" t="s">
        <v>444</v>
      </c>
    </row>
    <row r="205" spans="1:1" x14ac:dyDescent="0.2">
      <c r="A205" s="691" t="s">
        <v>435</v>
      </c>
    </row>
    <row r="206" spans="1:1" x14ac:dyDescent="0.2">
      <c r="A206" t="s">
        <v>424</v>
      </c>
    </row>
    <row r="207" spans="1:1" x14ac:dyDescent="0.2">
      <c r="A207" t="s">
        <v>436</v>
      </c>
    </row>
    <row r="208" spans="1:1" x14ac:dyDescent="0.2">
      <c r="A208" t="s">
        <v>443</v>
      </c>
    </row>
    <row r="209" spans="1:1" x14ac:dyDescent="0.2">
      <c r="A209" t="s">
        <v>438</v>
      </c>
    </row>
    <row r="210" spans="1:1" x14ac:dyDescent="0.2">
      <c r="A210" t="s">
        <v>441</v>
      </c>
    </row>
    <row r="211" spans="1:1" x14ac:dyDescent="0.2">
      <c r="A211" t="s">
        <v>445</v>
      </c>
    </row>
    <row r="212" spans="1:1" x14ac:dyDescent="0.2">
      <c r="A212" t="s">
        <v>446</v>
      </c>
    </row>
    <row r="213" spans="1:1" x14ac:dyDescent="0.2">
      <c r="A213" s="691" t="s">
        <v>447</v>
      </c>
    </row>
    <row r="214" spans="1:1" x14ac:dyDescent="0.2">
      <c r="A214" t="s">
        <v>448</v>
      </c>
    </row>
    <row r="215" spans="1:1" x14ac:dyDescent="0.2">
      <c r="A215" t="s">
        <v>449</v>
      </c>
    </row>
    <row r="216" spans="1:1" x14ac:dyDescent="0.2">
      <c r="A216" s="691" t="s">
        <v>447</v>
      </c>
    </row>
    <row r="217" spans="1:1" x14ac:dyDescent="0.2">
      <c r="A217" t="s">
        <v>450</v>
      </c>
    </row>
    <row r="218" spans="1:1" x14ac:dyDescent="0.2">
      <c r="A218" t="s">
        <v>451</v>
      </c>
    </row>
    <row r="219" spans="1:1" x14ac:dyDescent="0.2">
      <c r="A219" s="691" t="s">
        <v>447</v>
      </c>
    </row>
    <row r="220" spans="1:1" x14ac:dyDescent="0.2">
      <c r="A220" t="s">
        <v>452</v>
      </c>
    </row>
    <row r="221" spans="1:1" x14ac:dyDescent="0.2">
      <c r="A221" t="s">
        <v>453</v>
      </c>
    </row>
    <row r="222" spans="1:1" x14ac:dyDescent="0.2">
      <c r="A222" s="691" t="s">
        <v>447</v>
      </c>
    </row>
    <row r="223" spans="1:1" x14ac:dyDescent="0.2">
      <c r="A223" t="s">
        <v>454</v>
      </c>
    </row>
    <row r="224" spans="1:1" x14ac:dyDescent="0.2">
      <c r="A224" t="s">
        <v>455</v>
      </c>
    </row>
    <row r="225" spans="1:2" x14ac:dyDescent="0.2">
      <c r="A225" s="691" t="s">
        <v>447</v>
      </c>
    </row>
    <row r="226" spans="1:2" x14ac:dyDescent="0.2">
      <c r="A226" t="s">
        <v>456</v>
      </c>
    </row>
    <row r="227" spans="1:2" ht="15.75" x14ac:dyDescent="0.25">
      <c r="A227" s="689" t="s">
        <v>457</v>
      </c>
    </row>
    <row r="228" spans="1:2" x14ac:dyDescent="0.2">
      <c r="A228" t="s">
        <v>458</v>
      </c>
    </row>
    <row r="229" spans="1:2" x14ac:dyDescent="0.2">
      <c r="A229">
        <v>1</v>
      </c>
      <c r="B229" t="s">
        <v>303</v>
      </c>
    </row>
    <row r="230" spans="1:2" x14ac:dyDescent="0.2">
      <c r="A230">
        <v>2</v>
      </c>
      <c r="B230" t="s">
        <v>459</v>
      </c>
    </row>
    <row r="231" spans="1:2" x14ac:dyDescent="0.2">
      <c r="A231">
        <v>3</v>
      </c>
      <c r="B231" t="s">
        <v>460</v>
      </c>
    </row>
    <row r="232" spans="1:2" x14ac:dyDescent="0.2">
      <c r="A232">
        <v>4</v>
      </c>
      <c r="B232" t="s">
        <v>461</v>
      </c>
    </row>
    <row r="233" spans="1:2" x14ac:dyDescent="0.2">
      <c r="A233">
        <v>5</v>
      </c>
      <c r="B233" t="s">
        <v>462</v>
      </c>
    </row>
    <row r="234" spans="1:2" x14ac:dyDescent="0.2">
      <c r="A234">
        <v>6</v>
      </c>
      <c r="B234" t="s">
        <v>463</v>
      </c>
    </row>
    <row r="235" spans="1:2" x14ac:dyDescent="0.2">
      <c r="A235">
        <v>7</v>
      </c>
      <c r="B235" t="s">
        <v>464</v>
      </c>
    </row>
    <row r="236" spans="1:2" x14ac:dyDescent="0.2">
      <c r="A236">
        <v>8</v>
      </c>
      <c r="B236" t="s">
        <v>465</v>
      </c>
    </row>
    <row r="237" spans="1:2" x14ac:dyDescent="0.2">
      <c r="A237">
        <v>9</v>
      </c>
      <c r="B237" t="s">
        <v>466</v>
      </c>
    </row>
    <row r="238" spans="1:2" x14ac:dyDescent="0.2">
      <c r="A238">
        <v>10</v>
      </c>
      <c r="B238" t="s">
        <v>467</v>
      </c>
    </row>
    <row r="239" spans="1:2" x14ac:dyDescent="0.2">
      <c r="A239" t="s">
        <v>468</v>
      </c>
    </row>
    <row r="240" spans="1:2" x14ac:dyDescent="0.2">
      <c r="A240" t="s">
        <v>303</v>
      </c>
    </row>
    <row r="241" spans="1:1" x14ac:dyDescent="0.2">
      <c r="A241" t="s">
        <v>469</v>
      </c>
    </row>
    <row r="242" spans="1:1" x14ac:dyDescent="0.2">
      <c r="A242" t="s">
        <v>470</v>
      </c>
    </row>
    <row r="243" spans="1:1" ht="15.75" x14ac:dyDescent="0.25">
      <c r="A243" s="689" t="s">
        <v>471</v>
      </c>
    </row>
    <row r="244" spans="1:1" x14ac:dyDescent="0.2">
      <c r="A244" t="s">
        <v>472</v>
      </c>
    </row>
    <row r="245" spans="1:1" x14ac:dyDescent="0.2">
      <c r="A245" t="s">
        <v>473</v>
      </c>
    </row>
    <row r="246" spans="1:1" x14ac:dyDescent="0.2">
      <c r="A246" t="s">
        <v>474</v>
      </c>
    </row>
    <row r="247" spans="1:1" x14ac:dyDescent="0.2">
      <c r="A247" t="s">
        <v>475</v>
      </c>
    </row>
    <row r="248" spans="1:1" x14ac:dyDescent="0.2">
      <c r="A248" t="s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C819-42A8-4F87-8A40-7BFAA7348E48}">
  <sheetPr>
    <tabColor rgb="FF7030A0"/>
  </sheetPr>
  <dimension ref="A1:H12"/>
  <sheetViews>
    <sheetView workbookViewId="0">
      <pane xSplit="1" topLeftCell="H1" activePane="topRight" state="frozen"/>
      <selection pane="topRight" activeCell="H8" sqref="H8"/>
    </sheetView>
  </sheetViews>
  <sheetFormatPr defaultColWidth="8.85546875" defaultRowHeight="12.75" x14ac:dyDescent="0.2"/>
  <cols>
    <col min="1" max="1" width="10.85546875" bestFit="1" customWidth="1"/>
    <col min="2" max="2" width="11.140625" customWidth="1"/>
    <col min="3" max="3" width="20.140625" bestFit="1" customWidth="1"/>
    <col min="4" max="4" width="38.42578125" customWidth="1"/>
    <col min="5" max="5" width="28" customWidth="1"/>
    <col min="6" max="6" width="21.28515625" bestFit="1" customWidth="1"/>
    <col min="7" max="7" width="24.85546875" customWidth="1"/>
    <col min="8" max="8" width="30.42578125" customWidth="1"/>
  </cols>
  <sheetData>
    <row r="1" spans="1:8" x14ac:dyDescent="0.2">
      <c r="A1" s="677" t="s">
        <v>303</v>
      </c>
      <c r="B1" s="677" t="s">
        <v>477</v>
      </c>
      <c r="C1" s="677" t="s">
        <v>478</v>
      </c>
      <c r="D1" s="679" t="s">
        <v>479</v>
      </c>
      <c r="E1" s="679" t="s">
        <v>480</v>
      </c>
      <c r="F1" s="677" t="s">
        <v>481</v>
      </c>
      <c r="G1" s="677" t="s">
        <v>482</v>
      </c>
      <c r="H1" s="682" t="s">
        <v>483</v>
      </c>
    </row>
    <row r="2" spans="1:8" ht="16.5" x14ac:dyDescent="0.3">
      <c r="A2" s="54" t="s">
        <v>60</v>
      </c>
      <c r="B2" s="54" t="s">
        <v>484</v>
      </c>
      <c r="C2" s="54" t="s">
        <v>83</v>
      </c>
      <c r="D2" s="680" t="s">
        <v>485</v>
      </c>
      <c r="E2" s="631" t="s">
        <v>486</v>
      </c>
      <c r="F2" s="681" t="s">
        <v>487</v>
      </c>
      <c r="G2" s="631" t="s">
        <v>488</v>
      </c>
      <c r="H2" s="538" t="s">
        <v>489</v>
      </c>
    </row>
    <row r="3" spans="1:8" ht="16.5" x14ac:dyDescent="0.3">
      <c r="A3" s="54" t="s">
        <v>490</v>
      </c>
      <c r="B3" s="54" t="s">
        <v>484</v>
      </c>
      <c r="C3" s="54" t="s">
        <v>83</v>
      </c>
      <c r="D3" s="680" t="s">
        <v>96</v>
      </c>
      <c r="E3" s="631" t="s">
        <v>486</v>
      </c>
      <c r="F3" s="681" t="s">
        <v>487</v>
      </c>
      <c r="G3" s="631" t="s">
        <v>488</v>
      </c>
      <c r="H3" s="538" t="s">
        <v>491</v>
      </c>
    </row>
    <row r="4" spans="1:8" ht="16.5" x14ac:dyDescent="0.3">
      <c r="A4" s="54" t="s">
        <v>492</v>
      </c>
      <c r="B4" s="54" t="s">
        <v>484</v>
      </c>
      <c r="C4" s="54" t="s">
        <v>493</v>
      </c>
      <c r="D4" s="680" t="s">
        <v>494</v>
      </c>
      <c r="E4" s="631" t="s">
        <v>495</v>
      </c>
      <c r="F4" s="681" t="s">
        <v>487</v>
      </c>
      <c r="G4" s="631" t="s">
        <v>496</v>
      </c>
      <c r="H4" s="538" t="s">
        <v>497</v>
      </c>
    </row>
    <row r="5" spans="1:8" ht="16.5" x14ac:dyDescent="0.3">
      <c r="A5" s="54" t="s">
        <v>67</v>
      </c>
      <c r="B5" s="54" t="s">
        <v>484</v>
      </c>
      <c r="C5" s="54" t="s">
        <v>493</v>
      </c>
      <c r="D5" s="680" t="s">
        <v>498</v>
      </c>
      <c r="E5" s="631" t="s">
        <v>486</v>
      </c>
      <c r="F5" s="681" t="s">
        <v>487</v>
      </c>
      <c r="G5" s="678" t="s">
        <v>496</v>
      </c>
      <c r="H5" s="538" t="s">
        <v>496</v>
      </c>
    </row>
    <row r="6" spans="1:8" ht="16.5" x14ac:dyDescent="0.3">
      <c r="A6" s="54" t="s">
        <v>499</v>
      </c>
      <c r="B6" s="54" t="s">
        <v>28</v>
      </c>
      <c r="C6" s="54" t="s">
        <v>26</v>
      </c>
      <c r="D6" s="680" t="s">
        <v>500</v>
      </c>
      <c r="E6" s="631" t="s">
        <v>501</v>
      </c>
      <c r="F6" s="681" t="s">
        <v>487</v>
      </c>
      <c r="G6" s="631" t="s">
        <v>488</v>
      </c>
      <c r="H6" s="538" t="s">
        <v>502</v>
      </c>
    </row>
    <row r="7" spans="1:8" ht="16.5" x14ac:dyDescent="0.3">
      <c r="A7" s="54" t="s">
        <v>73</v>
      </c>
      <c r="B7" s="54" t="s">
        <v>28</v>
      </c>
      <c r="C7" s="54" t="s">
        <v>503</v>
      </c>
      <c r="D7" s="680" t="s">
        <v>504</v>
      </c>
      <c r="E7" s="631" t="s">
        <v>505</v>
      </c>
      <c r="F7" s="681" t="s">
        <v>487</v>
      </c>
      <c r="G7" s="631" t="s">
        <v>488</v>
      </c>
      <c r="H7" s="538" t="s">
        <v>158</v>
      </c>
    </row>
    <row r="8" spans="1:8" ht="16.5" x14ac:dyDescent="0.3">
      <c r="A8" s="54" t="s">
        <v>72</v>
      </c>
      <c r="B8" s="54" t="s">
        <v>28</v>
      </c>
      <c r="C8" s="54" t="s">
        <v>503</v>
      </c>
      <c r="D8" s="680" t="s">
        <v>506</v>
      </c>
      <c r="E8" s="631" t="s">
        <v>507</v>
      </c>
      <c r="F8" s="681" t="s">
        <v>487</v>
      </c>
      <c r="G8" s="631" t="s">
        <v>508</v>
      </c>
      <c r="H8" s="538" t="s">
        <v>509</v>
      </c>
    </row>
    <row r="9" spans="1:8" ht="16.5" x14ac:dyDescent="0.3">
      <c r="A9" s="54" t="s">
        <v>70</v>
      </c>
      <c r="B9" s="54" t="s">
        <v>28</v>
      </c>
      <c r="C9" s="54" t="s">
        <v>87</v>
      </c>
      <c r="D9" s="678" t="s">
        <v>510</v>
      </c>
      <c r="E9" s="631" t="s">
        <v>12</v>
      </c>
      <c r="F9" s="681" t="s">
        <v>487</v>
      </c>
      <c r="G9" s="631" t="s">
        <v>511</v>
      </c>
      <c r="H9" s="538" t="s">
        <v>512</v>
      </c>
    </row>
    <row r="10" spans="1:8" ht="16.5" x14ac:dyDescent="0.3">
      <c r="A10" s="54" t="s">
        <v>513</v>
      </c>
      <c r="B10" s="54" t="s">
        <v>514</v>
      </c>
      <c r="C10" s="54" t="s">
        <v>26</v>
      </c>
      <c r="D10" s="680" t="s">
        <v>515</v>
      </c>
      <c r="E10" s="631" t="s">
        <v>516</v>
      </c>
      <c r="F10" s="681" t="s">
        <v>487</v>
      </c>
      <c r="G10" s="631" t="s">
        <v>496</v>
      </c>
      <c r="H10" s="538" t="s">
        <v>517</v>
      </c>
    </row>
    <row r="11" spans="1:8" ht="16.5" x14ac:dyDescent="0.3">
      <c r="A11" s="54" t="s">
        <v>518</v>
      </c>
      <c r="B11" s="54" t="s">
        <v>28</v>
      </c>
      <c r="C11" s="54" t="s">
        <v>28</v>
      </c>
      <c r="D11" s="680" t="s">
        <v>519</v>
      </c>
      <c r="E11" s="631" t="s">
        <v>519</v>
      </c>
      <c r="F11" s="681" t="s">
        <v>487</v>
      </c>
      <c r="G11" s="631"/>
      <c r="H11" s="538"/>
    </row>
    <row r="12" spans="1:8" ht="16.5" x14ac:dyDescent="0.3">
      <c r="A12" s="54" t="s">
        <v>520</v>
      </c>
      <c r="B12" s="54" t="s">
        <v>514</v>
      </c>
      <c r="C12" s="54" t="s">
        <v>84</v>
      </c>
      <c r="D12" s="680" t="s">
        <v>521</v>
      </c>
      <c r="E12" s="631" t="s">
        <v>522</v>
      </c>
      <c r="F12" s="681" t="s">
        <v>487</v>
      </c>
      <c r="G12" s="631" t="s">
        <v>508</v>
      </c>
      <c r="H12" s="538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3C67-28E8-42BA-BFDD-4BEEA18C09FF}">
  <sheetPr>
    <outlinePr summaryBelow="0" summaryRight="0"/>
  </sheetPr>
  <dimension ref="A1:Z65"/>
  <sheetViews>
    <sheetView zoomScale="110" zoomScaleNormal="110" workbookViewId="0">
      <pane xSplit="1" topLeftCell="B1" activePane="topRight" state="frozen"/>
      <selection activeCell="A3" sqref="A3"/>
      <selection pane="topRight" activeCell="B13" sqref="B13"/>
    </sheetView>
  </sheetViews>
  <sheetFormatPr defaultColWidth="14.42578125" defaultRowHeight="15.75" customHeight="1" x14ac:dyDescent="0.2"/>
  <cols>
    <col min="1" max="1" width="33.28515625" customWidth="1"/>
    <col min="2" max="2" width="23.28515625" bestFit="1" customWidth="1"/>
    <col min="3" max="3" width="22.85546875" bestFit="1" customWidth="1"/>
    <col min="4" max="4" width="23.42578125" customWidth="1"/>
    <col min="5" max="5" width="22" customWidth="1"/>
    <col min="6" max="6" width="25.42578125" bestFit="1" customWidth="1"/>
    <col min="7" max="7" width="20.85546875" customWidth="1"/>
    <col min="8" max="8" width="27" customWidth="1"/>
    <col min="9" max="9" width="22" customWidth="1"/>
    <col min="10" max="10" width="28" customWidth="1"/>
    <col min="11" max="11" width="20.85546875" customWidth="1"/>
    <col min="12" max="12" width="26" customWidth="1"/>
    <col min="13" max="13" width="28.42578125" customWidth="1"/>
    <col min="14" max="14" width="26.28515625" customWidth="1"/>
    <col min="15" max="15" width="24.85546875" customWidth="1"/>
    <col min="16" max="16" width="17.42578125" customWidth="1"/>
    <col min="17" max="17" width="29.42578125" customWidth="1"/>
    <col min="18" max="18" width="23.85546875" customWidth="1"/>
    <col min="19" max="19" width="25.140625" bestFit="1" customWidth="1"/>
    <col min="20" max="20" width="26.7109375" bestFit="1" customWidth="1"/>
    <col min="21" max="21" width="25.85546875" customWidth="1"/>
  </cols>
  <sheetData>
    <row r="1" spans="1:21" s="207" customFormat="1" x14ac:dyDescent="0.25">
      <c r="A1" s="203" t="s">
        <v>0</v>
      </c>
      <c r="B1" s="204" t="s">
        <v>1</v>
      </c>
      <c r="C1" s="204" t="s">
        <v>2</v>
      </c>
      <c r="D1" s="204" t="s">
        <v>3</v>
      </c>
      <c r="E1" s="204" t="s">
        <v>4</v>
      </c>
      <c r="F1" s="204"/>
      <c r="G1" s="204" t="s">
        <v>5</v>
      </c>
      <c r="H1" s="204" t="s">
        <v>1</v>
      </c>
      <c r="I1" s="204" t="s">
        <v>2</v>
      </c>
      <c r="J1" s="204" t="s">
        <v>2</v>
      </c>
      <c r="K1" s="204" t="s">
        <v>6</v>
      </c>
      <c r="L1" s="204" t="s">
        <v>4</v>
      </c>
      <c r="M1" s="204" t="s">
        <v>7</v>
      </c>
      <c r="N1" s="204" t="s">
        <v>4</v>
      </c>
      <c r="O1" s="204" t="s">
        <v>4</v>
      </c>
      <c r="P1" s="204" t="s">
        <v>524</v>
      </c>
      <c r="Q1" s="204" t="s">
        <v>1</v>
      </c>
      <c r="R1" s="204" t="s">
        <v>21</v>
      </c>
      <c r="S1" s="205" t="s">
        <v>8</v>
      </c>
      <c r="T1" s="205" t="s">
        <v>9</v>
      </c>
      <c r="U1" s="206"/>
    </row>
    <row r="2" spans="1:21" s="123" customFormat="1" x14ac:dyDescent="0.25">
      <c r="A2" s="217" t="s">
        <v>10</v>
      </c>
      <c r="B2" s="218" t="s">
        <v>11</v>
      </c>
      <c r="C2" s="218" t="s">
        <v>11</v>
      </c>
      <c r="D2" s="218" t="s">
        <v>3</v>
      </c>
      <c r="E2" s="218" t="s">
        <v>12</v>
      </c>
      <c r="F2" s="219" t="s">
        <v>13</v>
      </c>
      <c r="G2" s="218" t="s">
        <v>13</v>
      </c>
      <c r="H2" s="218" t="s">
        <v>14</v>
      </c>
      <c r="I2" s="218" t="s">
        <v>15</v>
      </c>
      <c r="J2" s="218" t="s">
        <v>14</v>
      </c>
      <c r="K2" s="218" t="s">
        <v>13</v>
      </c>
      <c r="L2" s="218" t="s">
        <v>16</v>
      </c>
      <c r="M2" s="218" t="s">
        <v>17</v>
      </c>
      <c r="N2" s="218" t="s">
        <v>18</v>
      </c>
      <c r="O2" s="218" t="s">
        <v>19</v>
      </c>
      <c r="P2" s="218" t="s">
        <v>525</v>
      </c>
      <c r="Q2" s="218" t="s">
        <v>20</v>
      </c>
      <c r="R2" s="218" t="s">
        <v>21</v>
      </c>
      <c r="S2" s="221" t="s">
        <v>8</v>
      </c>
      <c r="T2" s="219" t="s">
        <v>22</v>
      </c>
      <c r="U2" s="222"/>
    </row>
    <row r="3" spans="1:21" s="207" customFormat="1" x14ac:dyDescent="0.25">
      <c r="A3" s="208" t="s">
        <v>23</v>
      </c>
      <c r="B3" s="209" t="s">
        <v>24</v>
      </c>
      <c r="C3" s="209" t="s">
        <v>24</v>
      </c>
      <c r="D3" s="209" t="s">
        <v>24</v>
      </c>
      <c r="E3" s="209" t="s">
        <v>12</v>
      </c>
      <c r="F3" s="210" t="s">
        <v>25</v>
      </c>
      <c r="G3" s="218" t="s">
        <v>13</v>
      </c>
      <c r="H3" s="209" t="s">
        <v>24</v>
      </c>
      <c r="I3" s="209" t="s">
        <v>13</v>
      </c>
      <c r="J3" s="209" t="s">
        <v>26</v>
      </c>
      <c r="K3" s="209" t="s">
        <v>13</v>
      </c>
      <c r="L3" s="209" t="s">
        <v>27</v>
      </c>
      <c r="M3" s="209" t="s">
        <v>28</v>
      </c>
      <c r="N3" s="209" t="s">
        <v>17</v>
      </c>
      <c r="O3" s="209" t="s">
        <v>17</v>
      </c>
      <c r="P3" s="209" t="s">
        <v>28</v>
      </c>
      <c r="Q3" s="209" t="s">
        <v>29</v>
      </c>
      <c r="R3" s="209" t="s">
        <v>30</v>
      </c>
      <c r="S3" s="211" t="s">
        <v>8</v>
      </c>
      <c r="T3" s="219" t="s">
        <v>13</v>
      </c>
      <c r="U3" s="212"/>
    </row>
    <row r="4" spans="1:21" s="123" customFormat="1" x14ac:dyDescent="0.25">
      <c r="A4" s="223" t="s">
        <v>31</v>
      </c>
      <c r="B4" s="224" t="s">
        <v>32</v>
      </c>
      <c r="C4" s="224" t="s">
        <v>32</v>
      </c>
      <c r="D4" s="224" t="s">
        <v>32</v>
      </c>
      <c r="E4" s="224" t="s">
        <v>33</v>
      </c>
      <c r="F4" s="225"/>
      <c r="G4" s="224" t="s">
        <v>34</v>
      </c>
      <c r="H4" s="224" t="s">
        <v>35</v>
      </c>
      <c r="I4" s="224" t="s">
        <v>36</v>
      </c>
      <c r="J4" s="224" t="s">
        <v>37</v>
      </c>
      <c r="K4" s="224"/>
      <c r="L4" s="224" t="s">
        <v>38</v>
      </c>
      <c r="M4" s="224"/>
      <c r="N4" s="224" t="s">
        <v>39</v>
      </c>
      <c r="O4" s="224" t="s">
        <v>40</v>
      </c>
      <c r="P4" s="224" t="s">
        <v>40</v>
      </c>
      <c r="Q4" s="224" t="s">
        <v>32</v>
      </c>
      <c r="R4" s="224"/>
      <c r="S4" s="221" t="s">
        <v>41</v>
      </c>
      <c r="T4" s="220" t="s">
        <v>40</v>
      </c>
      <c r="U4" s="222"/>
    </row>
    <row r="5" spans="1:21" s="227" customFormat="1" x14ac:dyDescent="0.25">
      <c r="A5" s="564" t="s">
        <v>42</v>
      </c>
      <c r="B5" s="214" t="s">
        <v>43</v>
      </c>
      <c r="C5" s="214" t="s">
        <v>44</v>
      </c>
      <c r="D5" s="214"/>
      <c r="E5" s="214" t="s">
        <v>45</v>
      </c>
      <c r="F5" s="214" t="s">
        <v>46</v>
      </c>
      <c r="G5" s="214" t="s">
        <v>47</v>
      </c>
      <c r="H5" s="214" t="s">
        <v>48</v>
      </c>
      <c r="I5" s="214" t="s">
        <v>49</v>
      </c>
      <c r="J5" s="214" t="s">
        <v>50</v>
      </c>
      <c r="K5" s="214" t="s">
        <v>51</v>
      </c>
      <c r="L5" s="214" t="s">
        <v>52</v>
      </c>
      <c r="M5" s="214" t="s">
        <v>53</v>
      </c>
      <c r="N5" s="214" t="s">
        <v>54</v>
      </c>
      <c r="O5" s="214" t="s">
        <v>55</v>
      </c>
      <c r="P5" s="214" t="s">
        <v>526</v>
      </c>
      <c r="Q5" s="214" t="s">
        <v>56</v>
      </c>
      <c r="R5" s="214" t="s">
        <v>57</v>
      </c>
      <c r="S5" s="552" t="s">
        <v>58</v>
      </c>
      <c r="T5" s="552" t="s">
        <v>59</v>
      </c>
      <c r="U5" s="565" t="s">
        <v>57</v>
      </c>
    </row>
    <row r="6" spans="1:21" ht="43.5" customHeight="1" x14ac:dyDescent="0.3">
      <c r="A6" s="553"/>
      <c r="B6" s="554" t="s">
        <v>60</v>
      </c>
      <c r="C6" s="626" t="s">
        <v>61</v>
      </c>
      <c r="D6" s="614" t="s">
        <v>62</v>
      </c>
      <c r="E6" s="626" t="s">
        <v>63</v>
      </c>
      <c r="F6" s="563" t="s">
        <v>64</v>
      </c>
      <c r="G6" s="556" t="s">
        <v>65</v>
      </c>
      <c r="H6" s="560" t="s">
        <v>66</v>
      </c>
      <c r="I6" s="561" t="s">
        <v>67</v>
      </c>
      <c r="J6" s="562" t="s">
        <v>68</v>
      </c>
      <c r="K6" s="557" t="s">
        <v>69</v>
      </c>
      <c r="L6" s="558" t="s">
        <v>70</v>
      </c>
      <c r="M6" s="554" t="s">
        <v>71</v>
      </c>
      <c r="N6" s="559" t="s">
        <v>72</v>
      </c>
      <c r="O6" s="573" t="s">
        <v>73</v>
      </c>
      <c r="P6" s="558" t="s">
        <v>527</v>
      </c>
      <c r="Q6" s="573" t="s">
        <v>74</v>
      </c>
      <c r="R6" s="642" t="s">
        <v>75</v>
      </c>
      <c r="S6" s="555" t="s">
        <v>76</v>
      </c>
      <c r="T6" s="607" t="s">
        <v>77</v>
      </c>
      <c r="U6" s="657" t="s">
        <v>78</v>
      </c>
    </row>
    <row r="7" spans="1:21" ht="18.75" x14ac:dyDescent="0.3">
      <c r="A7" s="566" t="s">
        <v>79</v>
      </c>
      <c r="B7" s="549" t="s">
        <v>80</v>
      </c>
      <c r="C7" s="541" t="s">
        <v>80</v>
      </c>
      <c r="D7" s="615"/>
      <c r="E7" s="541" t="s">
        <v>80</v>
      </c>
      <c r="F7" s="572" t="s">
        <v>80</v>
      </c>
      <c r="G7" s="567" t="s">
        <v>80</v>
      </c>
      <c r="H7" s="567" t="s">
        <v>80</v>
      </c>
      <c r="I7" s="567" t="s">
        <v>80</v>
      </c>
      <c r="J7" s="567" t="s">
        <v>80</v>
      </c>
      <c r="K7" s="550" t="s">
        <v>80</v>
      </c>
      <c r="L7" s="550" t="s">
        <v>80</v>
      </c>
      <c r="M7" s="550" t="s">
        <v>80</v>
      </c>
      <c r="N7" s="651" t="s">
        <v>80</v>
      </c>
      <c r="O7" s="541" t="s">
        <v>80</v>
      </c>
      <c r="P7" s="647" t="s">
        <v>80</v>
      </c>
      <c r="Q7" s="641" t="s">
        <v>80</v>
      </c>
      <c r="R7" s="571" t="s">
        <v>80</v>
      </c>
      <c r="S7" s="641" t="s">
        <v>80</v>
      </c>
      <c r="T7" s="572" t="s">
        <v>80</v>
      </c>
      <c r="U7" s="40" t="s">
        <v>81</v>
      </c>
    </row>
    <row r="8" spans="1:21" ht="23.25" customHeight="1" x14ac:dyDescent="0.2">
      <c r="A8" s="515" t="s">
        <v>82</v>
      </c>
      <c r="B8" s="547" t="s">
        <v>83</v>
      </c>
      <c r="C8" s="540" t="s">
        <v>83</v>
      </c>
      <c r="D8" s="616"/>
      <c r="E8" s="540" t="s">
        <v>84</v>
      </c>
      <c r="F8" s="543" t="s">
        <v>25</v>
      </c>
      <c r="G8" s="547" t="s">
        <v>6</v>
      </c>
      <c r="H8" s="547" t="s">
        <v>85</v>
      </c>
      <c r="I8" s="547" t="s">
        <v>86</v>
      </c>
      <c r="J8" s="574" t="s">
        <v>26</v>
      </c>
      <c r="K8" s="540" t="s">
        <v>6</v>
      </c>
      <c r="L8" s="540" t="s">
        <v>87</v>
      </c>
      <c r="M8" s="547" t="s">
        <v>88</v>
      </c>
      <c r="N8" s="540" t="s">
        <v>89</v>
      </c>
      <c r="O8" s="543" t="s">
        <v>90</v>
      </c>
      <c r="P8" s="648" t="s">
        <v>528</v>
      </c>
      <c r="Q8" s="646" t="s">
        <v>91</v>
      </c>
      <c r="R8" s="653" t="s">
        <v>92</v>
      </c>
      <c r="S8" s="655" t="s">
        <v>3</v>
      </c>
      <c r="T8" s="656" t="s">
        <v>9</v>
      </c>
      <c r="U8" s="583" t="s">
        <v>93</v>
      </c>
    </row>
    <row r="9" spans="1:21" ht="18.75" x14ac:dyDescent="0.2">
      <c r="A9" s="247" t="s">
        <v>94</v>
      </c>
      <c r="B9" s="604"/>
      <c r="C9" s="660"/>
      <c r="D9" s="615"/>
      <c r="E9" s="540" t="s">
        <v>12</v>
      </c>
      <c r="F9" s="540"/>
      <c r="G9" s="540"/>
      <c r="H9" s="540"/>
      <c r="I9" s="540"/>
      <c r="J9" s="574"/>
      <c r="K9" s="574"/>
      <c r="L9" s="574"/>
      <c r="M9" s="574"/>
      <c r="N9" s="540"/>
      <c r="O9" s="543"/>
      <c r="P9" s="271"/>
      <c r="Q9" s="547" t="s">
        <v>95</v>
      </c>
      <c r="R9" s="547"/>
      <c r="S9" s="574"/>
      <c r="T9" s="656" t="s">
        <v>96</v>
      </c>
      <c r="U9" s="583" t="s">
        <v>97</v>
      </c>
    </row>
    <row r="10" spans="1:21" ht="18.75" x14ac:dyDescent="0.2">
      <c r="A10" s="544" t="s">
        <v>98</v>
      </c>
      <c r="B10" s="548" t="s">
        <v>99</v>
      </c>
      <c r="C10" s="541" t="s">
        <v>99</v>
      </c>
      <c r="D10" s="617"/>
      <c r="E10" s="624" t="s">
        <v>99</v>
      </c>
      <c r="F10" s="568" t="s">
        <v>99</v>
      </c>
      <c r="G10" s="548" t="s">
        <v>99</v>
      </c>
      <c r="H10" s="548" t="s">
        <v>99</v>
      </c>
      <c r="I10" s="548" t="s">
        <v>99</v>
      </c>
      <c r="J10" s="541" t="s">
        <v>99</v>
      </c>
      <c r="K10" s="541" t="s">
        <v>99</v>
      </c>
      <c r="L10" s="541" t="s">
        <v>99</v>
      </c>
      <c r="M10" s="548" t="s">
        <v>99</v>
      </c>
      <c r="N10" s="541" t="s">
        <v>99</v>
      </c>
      <c r="O10" s="650" t="s">
        <v>99</v>
      </c>
      <c r="P10" s="548" t="s">
        <v>99</v>
      </c>
      <c r="Q10" s="548" t="s">
        <v>99</v>
      </c>
      <c r="R10" s="548" t="s">
        <v>99</v>
      </c>
      <c r="S10" s="548" t="s">
        <v>99</v>
      </c>
      <c r="T10" s="621" t="s">
        <v>100</v>
      </c>
      <c r="U10" s="594" t="s">
        <v>101</v>
      </c>
    </row>
    <row r="11" spans="1:21" ht="18.75" x14ac:dyDescent="0.25">
      <c r="A11" s="545" t="s">
        <v>102</v>
      </c>
      <c r="B11" s="613" t="s">
        <v>103</v>
      </c>
      <c r="C11" s="542" t="s">
        <v>104</v>
      </c>
      <c r="D11" s="618"/>
      <c r="E11" s="542" t="s">
        <v>105</v>
      </c>
      <c r="F11" s="625" t="s">
        <v>3</v>
      </c>
      <c r="G11" s="547" t="s">
        <v>40</v>
      </c>
      <c r="H11" s="547" t="s">
        <v>106</v>
      </c>
      <c r="I11" s="547" t="s">
        <v>35</v>
      </c>
      <c r="J11" s="575" t="s">
        <v>37</v>
      </c>
      <c r="K11" s="635" t="s">
        <v>3</v>
      </c>
      <c r="L11" s="575" t="s">
        <v>107</v>
      </c>
      <c r="M11" s="649" t="s">
        <v>3</v>
      </c>
      <c r="N11" s="540" t="s">
        <v>39</v>
      </c>
      <c r="O11" s="543" t="s">
        <v>108</v>
      </c>
      <c r="P11" s="649" t="s">
        <v>3</v>
      </c>
      <c r="Q11" s="547" t="s">
        <v>32</v>
      </c>
      <c r="R11" s="649" t="s">
        <v>3</v>
      </c>
      <c r="S11" s="538"/>
      <c r="T11" s="579" t="s">
        <v>529</v>
      </c>
      <c r="U11" s="290"/>
    </row>
    <row r="12" spans="1:21" ht="18.75" x14ac:dyDescent="0.3">
      <c r="A12" s="546" t="s">
        <v>110</v>
      </c>
      <c r="B12" s="598" t="s">
        <v>111</v>
      </c>
      <c r="C12" s="600" t="s">
        <v>112</v>
      </c>
      <c r="D12" s="619"/>
      <c r="E12" s="600" t="s">
        <v>112</v>
      </c>
      <c r="F12" s="599" t="s">
        <v>112</v>
      </c>
      <c r="G12" s="598" t="s">
        <v>112</v>
      </c>
      <c r="H12" s="598" t="s">
        <v>112</v>
      </c>
      <c r="I12" s="598" t="s">
        <v>112</v>
      </c>
      <c r="J12" s="629" t="s">
        <v>112</v>
      </c>
      <c r="K12" s="632" t="s">
        <v>112</v>
      </c>
      <c r="L12" s="632" t="s">
        <v>112</v>
      </c>
      <c r="M12" s="600" t="s">
        <v>112</v>
      </c>
      <c r="N12" s="629" t="s">
        <v>112</v>
      </c>
      <c r="O12" s="601" t="s">
        <v>112</v>
      </c>
      <c r="P12" s="571" t="s">
        <v>112</v>
      </c>
      <c r="Q12" s="644" t="s">
        <v>112</v>
      </c>
      <c r="R12" s="601" t="s">
        <v>112</v>
      </c>
      <c r="S12" s="600" t="s">
        <v>112</v>
      </c>
      <c r="T12" s="608" t="s">
        <v>530</v>
      </c>
      <c r="U12" s="260"/>
    </row>
    <row r="13" spans="1:21" ht="18.75" x14ac:dyDescent="0.25">
      <c r="A13" s="122"/>
      <c r="B13" s="581" t="s">
        <v>114</v>
      </c>
      <c r="C13" s="659" t="s">
        <v>115</v>
      </c>
      <c r="D13" s="619"/>
      <c r="E13" s="538" t="s">
        <v>116</v>
      </c>
      <c r="F13" s="570" t="s">
        <v>117</v>
      </c>
      <c r="G13" s="586" t="s">
        <v>118</v>
      </c>
      <c r="H13" s="587" t="s">
        <v>119</v>
      </c>
      <c r="I13" s="586" t="s">
        <v>120</v>
      </c>
      <c r="J13" s="631"/>
      <c r="K13" s="633" t="s">
        <v>121</v>
      </c>
      <c r="L13" s="622" t="s">
        <v>531</v>
      </c>
      <c r="M13" s="636" t="s">
        <v>123</v>
      </c>
      <c r="N13" s="637" t="s">
        <v>532</v>
      </c>
      <c r="O13" s="631" t="s">
        <v>125</v>
      </c>
      <c r="P13" s="643" t="s">
        <v>528</v>
      </c>
      <c r="Q13" s="645" t="s">
        <v>126</v>
      </c>
      <c r="R13" s="586" t="s">
        <v>127</v>
      </c>
      <c r="S13" s="54" t="s">
        <v>3</v>
      </c>
      <c r="T13" s="539" t="s">
        <v>128</v>
      </c>
      <c r="U13" s="260"/>
    </row>
    <row r="14" spans="1:21" ht="18.75" x14ac:dyDescent="0.25">
      <c r="A14" s="122"/>
      <c r="B14" s="581" t="s">
        <v>129</v>
      </c>
      <c r="C14" s="658" t="s">
        <v>130</v>
      </c>
      <c r="D14" s="619"/>
      <c r="E14" s="627" t="s">
        <v>131</v>
      </c>
      <c r="F14" s="583" t="s">
        <v>132</v>
      </c>
      <c r="G14" s="551" t="s">
        <v>128</v>
      </c>
      <c r="H14" s="588" t="s">
        <v>133</v>
      </c>
      <c r="I14" s="590" t="s">
        <v>134</v>
      </c>
      <c r="J14" s="634" t="s">
        <v>135</v>
      </c>
      <c r="K14" s="587" t="s">
        <v>136</v>
      </c>
      <c r="L14" s="622" t="s">
        <v>137</v>
      </c>
      <c r="M14" s="637" t="s">
        <v>138</v>
      </c>
      <c r="N14" s="631" t="s">
        <v>139</v>
      </c>
      <c r="O14" s="538" t="s">
        <v>140</v>
      </c>
      <c r="P14" s="264"/>
      <c r="Q14" s="597" t="s">
        <v>533</v>
      </c>
      <c r="R14" s="586" t="s">
        <v>142</v>
      </c>
      <c r="S14" s="539" t="s">
        <v>128</v>
      </c>
      <c r="T14" s="606" t="s">
        <v>143</v>
      </c>
      <c r="U14" s="260"/>
    </row>
    <row r="15" spans="1:21" ht="18.75" x14ac:dyDescent="0.25">
      <c r="A15" s="122"/>
      <c r="B15" s="581" t="s">
        <v>144</v>
      </c>
      <c r="C15" s="163" t="s">
        <v>145</v>
      </c>
      <c r="D15" s="618"/>
      <c r="E15" s="622" t="s">
        <v>146</v>
      </c>
      <c r="F15" s="583" t="s">
        <v>147</v>
      </c>
      <c r="G15" s="585" t="s">
        <v>148</v>
      </c>
      <c r="H15" s="587" t="s">
        <v>149</v>
      </c>
      <c r="I15" s="590"/>
      <c r="J15" s="579" t="s">
        <v>150</v>
      </c>
      <c r="K15" s="593" t="s">
        <v>151</v>
      </c>
      <c r="L15" s="622" t="s">
        <v>152</v>
      </c>
      <c r="M15" s="269"/>
      <c r="N15" s="640" t="s">
        <v>153</v>
      </c>
      <c r="O15" s="538" t="s">
        <v>154</v>
      </c>
      <c r="P15" s="271"/>
      <c r="Q15" s="594" t="s">
        <v>155</v>
      </c>
      <c r="R15" s="654" t="s">
        <v>156</v>
      </c>
      <c r="S15" s="584" t="s">
        <v>157</v>
      </c>
      <c r="T15" s="606" t="s">
        <v>158</v>
      </c>
      <c r="U15" s="260"/>
    </row>
    <row r="16" spans="1:21" ht="18.75" x14ac:dyDescent="0.25">
      <c r="A16" s="122"/>
      <c r="B16" s="581" t="s">
        <v>159</v>
      </c>
      <c r="C16" s="163" t="s">
        <v>160</v>
      </c>
      <c r="D16" s="577"/>
      <c r="E16" s="622" t="s">
        <v>161</v>
      </c>
      <c r="F16" s="620" t="s">
        <v>162</v>
      </c>
      <c r="G16" s="576" t="s">
        <v>163</v>
      </c>
      <c r="H16" s="586" t="s">
        <v>164</v>
      </c>
      <c r="I16" s="578" t="s">
        <v>128</v>
      </c>
      <c r="J16" s="579" t="s">
        <v>165</v>
      </c>
      <c r="K16" s="261"/>
      <c r="L16" s="538" t="s">
        <v>166</v>
      </c>
      <c r="M16" s="261"/>
      <c r="N16" s="631" t="s">
        <v>167</v>
      </c>
      <c r="O16" s="538" t="s">
        <v>168</v>
      </c>
      <c r="P16" s="252"/>
      <c r="Q16" s="597" t="s">
        <v>169</v>
      </c>
      <c r="S16" s="584" t="s">
        <v>170</v>
      </c>
      <c r="T16" s="584" t="s">
        <v>171</v>
      </c>
      <c r="U16" s="260"/>
    </row>
    <row r="17" spans="1:21" x14ac:dyDescent="0.25">
      <c r="A17" s="122"/>
      <c r="B17" s="582" t="s">
        <v>172</v>
      </c>
      <c r="C17" s="163" t="s">
        <v>173</v>
      </c>
      <c r="D17" s="577"/>
      <c r="E17" s="622" t="s">
        <v>174</v>
      </c>
      <c r="F17" s="621" t="s">
        <v>175</v>
      </c>
      <c r="G17" s="576" t="s">
        <v>176</v>
      </c>
      <c r="H17" s="587" t="s">
        <v>177</v>
      </c>
      <c r="I17" s="586" t="s">
        <v>178</v>
      </c>
      <c r="J17" s="538" t="s">
        <v>179</v>
      </c>
      <c r="K17" s="261"/>
      <c r="L17" s="622" t="s">
        <v>180</v>
      </c>
      <c r="M17" s="261"/>
      <c r="N17" s="637" t="s">
        <v>531</v>
      </c>
      <c r="O17" s="622" t="s">
        <v>181</v>
      </c>
      <c r="P17" s="252"/>
      <c r="Q17" s="594" t="s">
        <v>182</v>
      </c>
      <c r="R17" s="278"/>
      <c r="S17" s="584" t="s">
        <v>183</v>
      </c>
      <c r="T17" s="584" t="s">
        <v>184</v>
      </c>
      <c r="U17" s="260"/>
    </row>
    <row r="18" spans="1:21" ht="18.75" x14ac:dyDescent="0.25">
      <c r="A18" s="122"/>
      <c r="B18" s="586" t="s">
        <v>185</v>
      </c>
      <c r="C18" s="661" t="s">
        <v>128</v>
      </c>
      <c r="D18" s="577"/>
      <c r="E18" s="622" t="s">
        <v>186</v>
      </c>
      <c r="F18" s="621" t="s">
        <v>187</v>
      </c>
      <c r="G18" s="576" t="s">
        <v>188</v>
      </c>
      <c r="H18" s="587" t="s">
        <v>189</v>
      </c>
      <c r="I18" s="586" t="s">
        <v>190</v>
      </c>
      <c r="J18" s="630" t="s">
        <v>128</v>
      </c>
      <c r="K18" s="261"/>
      <c r="L18" s="622" t="s">
        <v>191</v>
      </c>
      <c r="M18" s="628"/>
      <c r="N18" s="631" t="s">
        <v>192</v>
      </c>
      <c r="O18" s="622" t="s">
        <v>193</v>
      </c>
      <c r="P18" s="252"/>
      <c r="Q18" s="597" t="s">
        <v>194</v>
      </c>
      <c r="R18" s="278"/>
      <c r="S18" s="584" t="s">
        <v>195</v>
      </c>
      <c r="U18" s="260"/>
    </row>
    <row r="19" spans="1:21" ht="18.75" x14ac:dyDescent="0.25">
      <c r="A19" s="122"/>
      <c r="B19" s="582" t="s">
        <v>196</v>
      </c>
      <c r="C19" s="589" t="s">
        <v>197</v>
      </c>
      <c r="D19" s="252"/>
      <c r="E19" s="623" t="s">
        <v>198</v>
      </c>
      <c r="F19" s="621" t="s">
        <v>199</v>
      </c>
      <c r="G19" s="576"/>
      <c r="H19" s="605"/>
      <c r="I19" s="591" t="s">
        <v>200</v>
      </c>
      <c r="J19" s="538" t="s">
        <v>201</v>
      </c>
      <c r="K19" s="261"/>
      <c r="L19" s="583" t="s">
        <v>202</v>
      </c>
      <c r="M19" s="261"/>
      <c r="N19" s="569" t="s">
        <v>128</v>
      </c>
      <c r="O19" s="595" t="s">
        <v>198</v>
      </c>
      <c r="P19" s="252"/>
      <c r="Q19" s="594" t="s">
        <v>203</v>
      </c>
      <c r="R19" s="278"/>
      <c r="S19" s="584" t="s">
        <v>204</v>
      </c>
      <c r="T19" s="577"/>
      <c r="U19" s="260"/>
    </row>
    <row r="20" spans="1:21" ht="18.75" x14ac:dyDescent="0.25">
      <c r="A20" s="122"/>
      <c r="B20" s="663" t="s">
        <v>128</v>
      </c>
      <c r="C20" s="584" t="s">
        <v>205</v>
      </c>
      <c r="D20" s="252"/>
      <c r="E20" s="596" t="s">
        <v>206</v>
      </c>
      <c r="F20" s="290"/>
      <c r="G20" s="576"/>
      <c r="H20" s="602"/>
      <c r="I20" s="591" t="s">
        <v>207</v>
      </c>
      <c r="J20" s="538" t="s">
        <v>208</v>
      </c>
      <c r="K20" s="261"/>
      <c r="L20" s="622" t="s">
        <v>209</v>
      </c>
      <c r="M20" s="261"/>
      <c r="N20" s="585" t="s">
        <v>210</v>
      </c>
      <c r="O20" s="596" t="s">
        <v>206</v>
      </c>
      <c r="P20" s="252"/>
      <c r="Q20" s="652" t="s">
        <v>128</v>
      </c>
      <c r="R20" s="278"/>
      <c r="S20" s="584" t="s">
        <v>211</v>
      </c>
      <c r="T20" s="577"/>
      <c r="U20" s="260"/>
    </row>
    <row r="21" spans="1:21" ht="18.75" x14ac:dyDescent="0.25">
      <c r="A21" s="122"/>
      <c r="B21" s="589" t="s">
        <v>103</v>
      </c>
      <c r="C21" s="639" t="s">
        <v>212</v>
      </c>
      <c r="D21" s="252"/>
      <c r="E21" s="596" t="s">
        <v>213</v>
      </c>
      <c r="F21" s="290"/>
      <c r="H21" s="539" t="s">
        <v>214</v>
      </c>
      <c r="I21" s="609" t="s">
        <v>215</v>
      </c>
      <c r="J21" s="592" t="s">
        <v>216</v>
      </c>
      <c r="K21" s="261"/>
      <c r="L21" s="622" t="s">
        <v>217</v>
      </c>
      <c r="M21" s="261"/>
      <c r="N21" s="585" t="s">
        <v>218</v>
      </c>
      <c r="O21" s="596" t="s">
        <v>213</v>
      </c>
      <c r="P21" s="252"/>
      <c r="Q21" s="538" t="s">
        <v>219</v>
      </c>
      <c r="R21" s="278"/>
      <c r="S21" s="584" t="s">
        <v>220</v>
      </c>
      <c r="T21" s="577"/>
      <c r="U21" s="260"/>
    </row>
    <row r="22" spans="1:21" ht="19.5" customHeight="1" x14ac:dyDescent="0.25">
      <c r="A22" s="122"/>
      <c r="B22" s="589" t="s">
        <v>221</v>
      </c>
      <c r="C22" s="639" t="s">
        <v>222</v>
      </c>
      <c r="E22" s="627" t="s">
        <v>223</v>
      </c>
      <c r="F22" s="290"/>
      <c r="G22" s="286"/>
      <c r="H22" s="538" t="s">
        <v>201</v>
      </c>
      <c r="I22" s="609" t="s">
        <v>224</v>
      </c>
      <c r="J22" s="592" t="s">
        <v>225</v>
      </c>
      <c r="K22" s="261"/>
      <c r="L22" s="622" t="s">
        <v>226</v>
      </c>
      <c r="M22" s="261"/>
      <c r="N22" s="591" t="s">
        <v>227</v>
      </c>
      <c r="O22" s="539" t="s">
        <v>128</v>
      </c>
      <c r="Q22" s="538" t="s">
        <v>228</v>
      </c>
      <c r="R22" s="278"/>
      <c r="S22" s="584" t="s">
        <v>229</v>
      </c>
      <c r="T22" s="577"/>
      <c r="U22" s="260"/>
    </row>
    <row r="23" spans="1:21" ht="19.5" customHeight="1" x14ac:dyDescent="0.25">
      <c r="A23" s="122"/>
      <c r="B23" s="584" t="s">
        <v>230</v>
      </c>
      <c r="C23" s="662" t="s">
        <v>231</v>
      </c>
      <c r="D23" s="252"/>
      <c r="E23" s="539" t="s">
        <v>128</v>
      </c>
      <c r="G23" s="290"/>
      <c r="H23" s="538" t="s">
        <v>232</v>
      </c>
      <c r="I23" s="610"/>
      <c r="J23" s="592" t="s">
        <v>233</v>
      </c>
      <c r="K23" s="277"/>
      <c r="L23" s="538" t="s">
        <v>234</v>
      </c>
      <c r="M23" s="277"/>
      <c r="N23" s="591" t="s">
        <v>235</v>
      </c>
      <c r="O23" s="538" t="s">
        <v>236</v>
      </c>
      <c r="P23" s="264"/>
      <c r="Q23" s="592" t="s">
        <v>237</v>
      </c>
      <c r="R23" s="278"/>
      <c r="S23" s="584" t="s">
        <v>238</v>
      </c>
      <c r="T23" s="577"/>
      <c r="U23" s="261"/>
    </row>
    <row r="24" spans="1:21" ht="20.25" customHeight="1" x14ac:dyDescent="0.25">
      <c r="A24" s="122"/>
      <c r="B24" s="584" t="s">
        <v>239</v>
      </c>
      <c r="C24" s="639" t="s">
        <v>240</v>
      </c>
      <c r="D24" s="252"/>
      <c r="E24" s="589" t="s">
        <v>241</v>
      </c>
      <c r="F24" s="284"/>
      <c r="G24" s="290"/>
      <c r="H24" s="592" t="s">
        <v>242</v>
      </c>
      <c r="I24" s="610"/>
      <c r="J24" s="592" t="s">
        <v>243</v>
      </c>
      <c r="K24" s="277"/>
      <c r="L24" s="622" t="s">
        <v>244</v>
      </c>
      <c r="M24" s="277"/>
      <c r="N24" s="591" t="s">
        <v>245</v>
      </c>
      <c r="O24" s="538" t="s">
        <v>246</v>
      </c>
      <c r="Q24" s="592" t="s">
        <v>247</v>
      </c>
      <c r="R24" s="278"/>
      <c r="S24" s="584" t="s">
        <v>248</v>
      </c>
      <c r="T24" s="577"/>
      <c r="U24" s="264"/>
    </row>
    <row r="25" spans="1:21" ht="18.75" x14ac:dyDescent="0.25">
      <c r="A25" s="122"/>
      <c r="B25" s="584" t="s">
        <v>249</v>
      </c>
      <c r="D25" s="252"/>
      <c r="E25" s="584" t="s">
        <v>250</v>
      </c>
      <c r="F25" s="284"/>
      <c r="G25" s="284"/>
      <c r="H25" s="592" t="s">
        <v>251</v>
      </c>
      <c r="I25" s="609"/>
      <c r="J25" s="592" t="s">
        <v>252</v>
      </c>
      <c r="K25" s="283"/>
      <c r="L25" s="538"/>
      <c r="M25" s="283"/>
      <c r="N25" s="591" t="s">
        <v>253</v>
      </c>
      <c r="O25" s="538" t="s">
        <v>254</v>
      </c>
      <c r="P25" s="252"/>
      <c r="Q25" s="592" t="s">
        <v>255</v>
      </c>
      <c r="R25" s="278"/>
      <c r="T25" s="577"/>
      <c r="U25" s="264"/>
    </row>
    <row r="26" spans="1:21" ht="18.75" x14ac:dyDescent="0.25">
      <c r="A26" s="122"/>
      <c r="B26" s="584" t="s">
        <v>256</v>
      </c>
      <c r="C26" s="577"/>
      <c r="D26" s="252"/>
      <c r="E26" s="584" t="s">
        <v>257</v>
      </c>
      <c r="F26" s="290"/>
      <c r="G26" s="286"/>
      <c r="H26" s="592" t="s">
        <v>258</v>
      </c>
      <c r="I26" s="609" t="s">
        <v>259</v>
      </c>
      <c r="J26" s="592" t="s">
        <v>260</v>
      </c>
      <c r="K26" s="260"/>
      <c r="L26" s="580" t="s">
        <v>128</v>
      </c>
      <c r="M26" s="260"/>
      <c r="N26" s="591" t="s">
        <v>261</v>
      </c>
      <c r="O26" s="592" t="s">
        <v>262</v>
      </c>
      <c r="P26" s="252"/>
      <c r="Q26" s="592" t="s">
        <v>263</v>
      </c>
      <c r="R26" s="252"/>
      <c r="U26" s="264"/>
    </row>
    <row r="27" spans="1:21" x14ac:dyDescent="0.25">
      <c r="A27" s="122"/>
      <c r="B27" s="664" t="s">
        <v>264</v>
      </c>
      <c r="C27" s="298"/>
      <c r="D27" s="252"/>
      <c r="E27" s="584" t="s">
        <v>265</v>
      </c>
      <c r="F27" s="290"/>
      <c r="G27" s="290"/>
      <c r="H27" s="592" t="s">
        <v>266</v>
      </c>
      <c r="I27" s="290"/>
      <c r="J27" s="592"/>
      <c r="K27" s="260"/>
      <c r="L27" s="592" t="s">
        <v>267</v>
      </c>
      <c r="M27" s="260"/>
      <c r="N27" s="591" t="s">
        <v>268</v>
      </c>
      <c r="O27" s="592" t="s">
        <v>269</v>
      </c>
      <c r="P27" s="289"/>
      <c r="Q27" s="592" t="s">
        <v>270</v>
      </c>
      <c r="R27" s="252"/>
      <c r="U27" s="264"/>
    </row>
    <row r="28" spans="1:21" ht="18.75" x14ac:dyDescent="0.25">
      <c r="A28" s="122"/>
      <c r="B28" s="584" t="s">
        <v>271</v>
      </c>
      <c r="C28" s="298"/>
      <c r="D28" s="252"/>
      <c r="E28" s="584" t="s">
        <v>272</v>
      </c>
      <c r="F28" s="290"/>
      <c r="G28" s="290"/>
      <c r="H28" s="538" t="s">
        <v>273</v>
      </c>
      <c r="I28" s="290"/>
      <c r="J28" s="592"/>
      <c r="K28" s="252"/>
      <c r="L28" s="592" t="s">
        <v>274</v>
      </c>
      <c r="M28" s="252"/>
      <c r="N28" s="591" t="s">
        <v>275</v>
      </c>
      <c r="O28" s="592" t="s">
        <v>276</v>
      </c>
      <c r="P28" s="277"/>
      <c r="Q28" s="592" t="s">
        <v>277</v>
      </c>
      <c r="R28" s="284"/>
      <c r="U28" s="264"/>
    </row>
    <row r="29" spans="1:21" x14ac:dyDescent="0.25">
      <c r="A29" s="122"/>
      <c r="B29" s="584" t="s">
        <v>278</v>
      </c>
      <c r="C29" s="298"/>
      <c r="D29" s="252"/>
      <c r="E29" s="584" t="s">
        <v>279</v>
      </c>
      <c r="F29" s="252"/>
      <c r="G29" s="290"/>
      <c r="H29" s="592" t="s">
        <v>280</v>
      </c>
      <c r="I29" s="290"/>
      <c r="J29" s="592"/>
      <c r="K29" s="252"/>
      <c r="L29" s="592" t="s">
        <v>281</v>
      </c>
      <c r="M29" s="252"/>
      <c r="N29" s="591" t="s">
        <v>282</v>
      </c>
      <c r="O29" s="592" t="s">
        <v>283</v>
      </c>
      <c r="P29" s="277"/>
      <c r="Q29" s="592" t="s">
        <v>284</v>
      </c>
      <c r="R29" s="294"/>
      <c r="U29" s="264"/>
    </row>
    <row r="30" spans="1:21" ht="20.25" x14ac:dyDescent="0.25">
      <c r="A30" s="122"/>
      <c r="B30" s="584" t="s">
        <v>285</v>
      </c>
      <c r="C30" s="130"/>
      <c r="D30" s="252"/>
      <c r="F30" s="294"/>
      <c r="G30" s="290"/>
      <c r="H30" s="592" t="s">
        <v>286</v>
      </c>
      <c r="I30" s="290"/>
      <c r="J30" s="290"/>
      <c r="K30" s="252"/>
      <c r="L30" s="589" t="s">
        <v>287</v>
      </c>
      <c r="M30" s="252"/>
      <c r="O30" s="592" t="s">
        <v>288</v>
      </c>
      <c r="P30" s="252"/>
      <c r="Q30" s="592" t="s">
        <v>289</v>
      </c>
      <c r="R30" s="294"/>
      <c r="U30" s="264"/>
    </row>
    <row r="31" spans="1:21" ht="28.5" customHeight="1" x14ac:dyDescent="0.25">
      <c r="A31" s="122"/>
      <c r="B31" s="130">
        <v>1</v>
      </c>
      <c r="C31" s="130">
        <v>1</v>
      </c>
      <c r="D31" s="252"/>
      <c r="E31" s="130">
        <v>6</v>
      </c>
      <c r="F31" s="130">
        <v>4</v>
      </c>
      <c r="G31" s="130">
        <v>2</v>
      </c>
      <c r="H31" s="592" t="s">
        <v>290</v>
      </c>
      <c r="I31" s="130">
        <v>3</v>
      </c>
      <c r="J31" s="130">
        <v>3</v>
      </c>
      <c r="K31" s="130">
        <v>2</v>
      </c>
      <c r="L31" s="592" t="s">
        <v>291</v>
      </c>
      <c r="M31" s="130">
        <v>2</v>
      </c>
      <c r="N31" s="130">
        <v>4</v>
      </c>
      <c r="O31" s="592" t="s">
        <v>292</v>
      </c>
      <c r="P31" s="252"/>
      <c r="Q31" s="592" t="s">
        <v>293</v>
      </c>
      <c r="R31" s="290"/>
      <c r="S31" s="290"/>
      <c r="U31" s="264"/>
    </row>
    <row r="32" spans="1:21" ht="20.25" x14ac:dyDescent="0.25">
      <c r="A32" s="122"/>
      <c r="B32" s="665">
        <v>6</v>
      </c>
      <c r="C32" s="665">
        <v>4</v>
      </c>
      <c r="D32" s="298"/>
      <c r="E32" s="130">
        <v>6</v>
      </c>
      <c r="F32" s="130">
        <v>4</v>
      </c>
      <c r="G32" s="130">
        <v>4</v>
      </c>
      <c r="H32" s="592" t="s">
        <v>294</v>
      </c>
      <c r="I32" s="130"/>
      <c r="J32" s="130">
        <v>2</v>
      </c>
      <c r="K32" s="130">
        <v>2</v>
      </c>
      <c r="L32" s="589" t="s">
        <v>295</v>
      </c>
      <c r="M32" s="130">
        <v>1</v>
      </c>
      <c r="N32" s="130">
        <v>3</v>
      </c>
      <c r="O32" s="592" t="s">
        <v>296</v>
      </c>
      <c r="P32" s="252"/>
      <c r="Q32" s="592" t="s">
        <v>297</v>
      </c>
      <c r="R32" s="290"/>
      <c r="S32" s="290"/>
      <c r="U32" s="264"/>
    </row>
    <row r="33" spans="1:21" ht="17.25" customHeight="1" x14ac:dyDescent="0.25">
      <c r="A33" s="122"/>
      <c r="B33" s="130">
        <v>2</v>
      </c>
      <c r="C33" s="130">
        <v>2</v>
      </c>
      <c r="D33" s="298"/>
      <c r="E33" s="665">
        <v>2</v>
      </c>
      <c r="F33" s="130"/>
      <c r="G33" s="130"/>
      <c r="H33" s="592"/>
      <c r="I33" s="130">
        <v>2</v>
      </c>
      <c r="J33" s="130">
        <v>2</v>
      </c>
      <c r="K33" s="130"/>
      <c r="L33" s="589" t="s">
        <v>298</v>
      </c>
      <c r="M33" s="130"/>
      <c r="N33" s="130">
        <v>2</v>
      </c>
      <c r="O33" s="592" t="s">
        <v>299</v>
      </c>
      <c r="P33" s="252"/>
      <c r="Q33" s="592" t="s">
        <v>300</v>
      </c>
    </row>
    <row r="34" spans="1:21" ht="20.25" x14ac:dyDescent="0.25">
      <c r="A34" s="122"/>
      <c r="B34" s="130">
        <v>8</v>
      </c>
      <c r="C34" s="130">
        <v>4</v>
      </c>
      <c r="D34" s="298"/>
      <c r="E34" s="130">
        <v>5</v>
      </c>
      <c r="F34" s="130"/>
      <c r="G34" s="130"/>
      <c r="H34" s="130">
        <v>1</v>
      </c>
      <c r="I34" s="130">
        <v>4</v>
      </c>
      <c r="J34" s="130">
        <v>6</v>
      </c>
      <c r="K34" s="130"/>
      <c r="L34" s="592" t="s">
        <v>301</v>
      </c>
      <c r="M34" s="130"/>
      <c r="N34" s="130">
        <v>8</v>
      </c>
      <c r="O34" s="130">
        <v>4</v>
      </c>
      <c r="P34" s="130">
        <v>1</v>
      </c>
      <c r="Q34" s="592" t="s">
        <v>302</v>
      </c>
      <c r="R34" s="130">
        <v>4</v>
      </c>
      <c r="S34" s="130"/>
      <c r="T34" s="130"/>
      <c r="U34" s="130"/>
    </row>
    <row r="35" spans="1:21" ht="20.25" x14ac:dyDescent="0.25">
      <c r="A35" s="122"/>
      <c r="B35" s="298"/>
      <c r="C35" s="290"/>
      <c r="D35" s="290"/>
      <c r="E35" s="298"/>
      <c r="F35" s="290"/>
      <c r="G35" s="290"/>
      <c r="H35" s="130">
        <v>4</v>
      </c>
      <c r="I35" s="130"/>
      <c r="J35" s="130"/>
      <c r="K35" s="130"/>
      <c r="L35" s="592" t="s">
        <v>306</v>
      </c>
      <c r="M35" s="130"/>
      <c r="N35" s="130"/>
      <c r="O35" s="130">
        <v>2</v>
      </c>
      <c r="P35" s="130"/>
      <c r="Q35" s="592" t="s">
        <v>307</v>
      </c>
      <c r="R35" s="130"/>
      <c r="S35" s="130"/>
      <c r="T35" s="130">
        <v>2</v>
      </c>
      <c r="U35" s="130"/>
    </row>
    <row r="36" spans="1:21" ht="31.5" customHeight="1" x14ac:dyDescent="0.25">
      <c r="A36" s="122"/>
      <c r="B36" s="298"/>
      <c r="C36" s="290"/>
      <c r="D36" s="290"/>
      <c r="E36" s="298"/>
      <c r="F36" s="290"/>
      <c r="G36" s="290"/>
      <c r="H36" s="130">
        <v>1</v>
      </c>
      <c r="I36" s="290"/>
      <c r="J36" s="290"/>
      <c r="K36" s="254"/>
      <c r="L36" s="592" t="s">
        <v>265</v>
      </c>
      <c r="M36" s="130"/>
      <c r="N36" s="130"/>
      <c r="O36" s="130">
        <v>4</v>
      </c>
      <c r="P36" s="130"/>
      <c r="Q36" s="130">
        <v>4</v>
      </c>
      <c r="R36" s="130"/>
      <c r="S36" s="130">
        <v>10</v>
      </c>
      <c r="T36" s="130"/>
      <c r="U36" s="130"/>
    </row>
    <row r="37" spans="1:21" ht="31.5" customHeight="1" x14ac:dyDescent="0.25">
      <c r="A37" s="122"/>
      <c r="B37" s="298"/>
      <c r="C37" s="290"/>
      <c r="D37" s="290"/>
      <c r="E37" s="298"/>
      <c r="F37" s="290"/>
      <c r="G37" s="290"/>
      <c r="H37" s="130">
        <v>8</v>
      </c>
      <c r="I37" s="290"/>
      <c r="J37" s="290"/>
      <c r="K37" s="254"/>
      <c r="L37" s="130"/>
      <c r="M37" s="254"/>
      <c r="O37" s="130">
        <v>8</v>
      </c>
      <c r="P37" s="130"/>
      <c r="Q37" s="130">
        <v>3</v>
      </c>
      <c r="R37" s="130"/>
      <c r="S37" s="130"/>
      <c r="T37" s="130">
        <v>1</v>
      </c>
      <c r="U37" s="298"/>
    </row>
    <row r="38" spans="1:21" ht="31.5" customHeight="1" x14ac:dyDescent="0.25">
      <c r="A38" s="122"/>
      <c r="B38" s="298"/>
      <c r="C38" s="290"/>
      <c r="D38" s="290"/>
      <c r="E38" s="298"/>
      <c r="F38" s="290"/>
      <c r="G38" s="290"/>
      <c r="H38" s="290"/>
      <c r="I38" s="290"/>
      <c r="J38" s="290"/>
      <c r="K38" s="254"/>
      <c r="L38" s="130"/>
      <c r="M38" s="254"/>
      <c r="O38" s="577"/>
      <c r="P38" s="252"/>
      <c r="Q38" s="130">
        <v>2</v>
      </c>
      <c r="R38" s="290"/>
      <c r="S38" s="290"/>
      <c r="U38" s="298"/>
    </row>
    <row r="39" spans="1:21" ht="20.25" x14ac:dyDescent="0.25">
      <c r="A39" s="122"/>
      <c r="B39" s="298"/>
      <c r="C39" s="290"/>
      <c r="D39" s="290"/>
      <c r="E39" s="298"/>
      <c r="F39" s="290"/>
      <c r="G39" s="290"/>
      <c r="I39" s="252"/>
      <c r="J39" s="290"/>
      <c r="K39" s="254"/>
      <c r="L39" s="130">
        <v>1</v>
      </c>
      <c r="M39" s="254"/>
      <c r="N39" s="638"/>
      <c r="P39" s="252"/>
      <c r="Q39" s="130">
        <v>13</v>
      </c>
      <c r="R39" s="290"/>
      <c r="S39" s="290"/>
      <c r="U39" s="298"/>
    </row>
    <row r="40" spans="1:21" ht="27.75" customHeight="1" x14ac:dyDescent="0.25">
      <c r="A40" s="122"/>
      <c r="B40" s="298"/>
      <c r="C40" s="290"/>
      <c r="D40" s="290"/>
      <c r="E40" s="254"/>
      <c r="F40" s="290"/>
      <c r="G40" s="290"/>
      <c r="H40" s="290"/>
      <c r="I40" s="252"/>
      <c r="J40" s="290"/>
      <c r="K40" s="254"/>
      <c r="L40" s="130">
        <v>3</v>
      </c>
      <c r="M40" s="254"/>
      <c r="N40" s="638"/>
      <c r="O40" s="124"/>
      <c r="P40" s="252"/>
      <c r="Q40" s="130"/>
      <c r="R40" s="290"/>
      <c r="S40" s="290"/>
      <c r="U40" s="298"/>
    </row>
    <row r="41" spans="1:21" ht="20.25" x14ac:dyDescent="0.25">
      <c r="A41" s="122"/>
      <c r="B41" s="298"/>
      <c r="C41" s="298"/>
      <c r="D41" s="298"/>
      <c r="E41" s="254"/>
      <c r="F41" s="290"/>
      <c r="G41" s="252"/>
      <c r="H41" s="252"/>
      <c r="I41" s="252"/>
      <c r="J41" s="290"/>
      <c r="K41" s="254"/>
      <c r="L41" s="254"/>
      <c r="M41" s="254"/>
      <c r="N41" s="254"/>
      <c r="O41" s="124"/>
      <c r="P41" s="252"/>
      <c r="Q41" s="130"/>
      <c r="R41" s="290"/>
      <c r="S41" s="290"/>
      <c r="U41" s="298"/>
    </row>
    <row r="42" spans="1:21" ht="15.75" customHeight="1" x14ac:dyDescent="0.2">
      <c r="Q42" s="577"/>
    </row>
    <row r="43" spans="1:21" ht="1.5" hidden="1" customHeight="1" x14ac:dyDescent="0.2"/>
    <row r="44" spans="1:21" ht="43.5" customHeight="1" x14ac:dyDescent="0.2">
      <c r="A44" s="669" t="s">
        <v>303</v>
      </c>
      <c r="B44" s="554" t="s">
        <v>60</v>
      </c>
      <c r="C44" s="554" t="s">
        <v>61</v>
      </c>
      <c r="D44" s="614" t="s">
        <v>62</v>
      </c>
      <c r="E44" s="554" t="s">
        <v>63</v>
      </c>
      <c r="F44" s="554" t="s">
        <v>64</v>
      </c>
      <c r="G44" s="614" t="s">
        <v>65</v>
      </c>
      <c r="H44" s="554" t="s">
        <v>66</v>
      </c>
      <c r="I44" s="561" t="s">
        <v>67</v>
      </c>
      <c r="J44" s="561" t="s">
        <v>68</v>
      </c>
      <c r="K44" s="561" t="s">
        <v>69</v>
      </c>
      <c r="L44" s="558" t="s">
        <v>70</v>
      </c>
      <c r="M44" s="554" t="s">
        <v>71</v>
      </c>
      <c r="N44" s="554" t="s">
        <v>72</v>
      </c>
      <c r="O44" s="554" t="s">
        <v>73</v>
      </c>
      <c r="P44" s="558" t="s">
        <v>527</v>
      </c>
      <c r="Q44" s="558" t="s">
        <v>74</v>
      </c>
      <c r="R44" s="642" t="s">
        <v>75</v>
      </c>
      <c r="S44" s="642" t="s">
        <v>76</v>
      </c>
      <c r="T44" s="607" t="s">
        <v>77</v>
      </c>
    </row>
    <row r="45" spans="1:21" ht="24" customHeight="1" x14ac:dyDescent="0.2">
      <c r="A45" s="130" t="s">
        <v>534</v>
      </c>
      <c r="B45" s="128"/>
      <c r="C45" s="128">
        <v>1</v>
      </c>
      <c r="D45" s="128">
        <v>0</v>
      </c>
      <c r="E45" s="128">
        <v>1</v>
      </c>
      <c r="F45" s="128">
        <v>1</v>
      </c>
      <c r="G45" s="128">
        <v>0</v>
      </c>
      <c r="H45" s="128">
        <v>1</v>
      </c>
      <c r="I45" s="304">
        <v>1</v>
      </c>
      <c r="J45" s="304">
        <v>1</v>
      </c>
      <c r="K45" s="304">
        <v>0</v>
      </c>
      <c r="L45" s="304">
        <v>2</v>
      </c>
      <c r="M45" s="304">
        <v>0</v>
      </c>
      <c r="N45" s="304">
        <v>1</v>
      </c>
      <c r="O45" s="304">
        <v>2</v>
      </c>
      <c r="P45" s="304">
        <v>0</v>
      </c>
      <c r="Q45" s="304">
        <v>1</v>
      </c>
      <c r="R45" s="304">
        <v>0</v>
      </c>
      <c r="S45" s="304">
        <v>0</v>
      </c>
      <c r="T45" s="304">
        <v>1</v>
      </c>
      <c r="U45" s="385">
        <f>SUM(D45:T45)</f>
        <v>12</v>
      </c>
    </row>
    <row r="46" spans="1:21" ht="27.75" customHeight="1" x14ac:dyDescent="0.2">
      <c r="A46" s="130" t="s">
        <v>535</v>
      </c>
      <c r="B46" s="128"/>
      <c r="C46" s="128">
        <v>1</v>
      </c>
      <c r="D46" s="128">
        <v>0</v>
      </c>
      <c r="E46" s="128">
        <v>1</v>
      </c>
      <c r="F46" s="128">
        <v>1</v>
      </c>
      <c r="G46" s="128">
        <v>1</v>
      </c>
      <c r="H46" s="128">
        <v>2</v>
      </c>
      <c r="I46" s="304">
        <v>2</v>
      </c>
      <c r="J46" s="304">
        <v>1</v>
      </c>
      <c r="K46" s="304">
        <v>1</v>
      </c>
      <c r="L46" s="304">
        <v>1</v>
      </c>
      <c r="M46" s="304">
        <v>1</v>
      </c>
      <c r="N46" s="304">
        <v>0</v>
      </c>
      <c r="O46" s="304">
        <v>1</v>
      </c>
      <c r="P46" s="304">
        <v>0</v>
      </c>
      <c r="Q46" s="304">
        <v>1</v>
      </c>
      <c r="R46" s="304">
        <v>1</v>
      </c>
      <c r="S46" s="304">
        <v>0</v>
      </c>
      <c r="T46" s="304">
        <v>1</v>
      </c>
      <c r="U46" s="385">
        <f>SUM(D46:T46)</f>
        <v>15</v>
      </c>
    </row>
    <row r="47" spans="1:21" ht="21.75" customHeight="1" x14ac:dyDescent="0.2">
      <c r="A47" s="665" t="s">
        <v>536</v>
      </c>
      <c r="B47" s="128">
        <v>2</v>
      </c>
      <c r="C47" s="128">
        <v>0</v>
      </c>
      <c r="D47" s="128">
        <v>0</v>
      </c>
      <c r="E47" s="128">
        <v>2</v>
      </c>
      <c r="F47" s="304">
        <v>2</v>
      </c>
      <c r="G47" s="304">
        <v>1</v>
      </c>
      <c r="H47" s="304">
        <v>0</v>
      </c>
      <c r="I47" s="304">
        <v>0</v>
      </c>
      <c r="J47" s="304">
        <v>1</v>
      </c>
      <c r="K47" s="128">
        <v>1</v>
      </c>
      <c r="L47" s="128">
        <v>3</v>
      </c>
      <c r="M47" s="128">
        <v>1</v>
      </c>
      <c r="N47" s="128">
        <v>3</v>
      </c>
      <c r="O47" s="128">
        <v>4</v>
      </c>
      <c r="P47" s="128">
        <f>COUNTA(P8)</f>
        <v>1</v>
      </c>
      <c r="Q47" s="128">
        <v>4</v>
      </c>
      <c r="R47" s="304">
        <v>3</v>
      </c>
      <c r="S47" s="304">
        <v>0</v>
      </c>
      <c r="T47" s="304">
        <v>1</v>
      </c>
      <c r="U47" s="385">
        <f>SUM(B47:T47)</f>
        <v>29</v>
      </c>
    </row>
    <row r="48" spans="1:21" ht="21.75" customHeight="1" x14ac:dyDescent="0.2">
      <c r="A48" s="130" t="s">
        <v>537</v>
      </c>
      <c r="B48" s="666">
        <v>5</v>
      </c>
      <c r="C48" s="666">
        <v>4</v>
      </c>
      <c r="D48" s="666">
        <v>0</v>
      </c>
      <c r="E48" s="666">
        <v>4</v>
      </c>
      <c r="F48" s="667">
        <v>3</v>
      </c>
      <c r="G48" s="667">
        <v>0</v>
      </c>
      <c r="H48" s="667">
        <v>4</v>
      </c>
      <c r="I48" s="667">
        <v>0</v>
      </c>
      <c r="J48" s="667">
        <v>2</v>
      </c>
      <c r="K48" s="666">
        <v>2</v>
      </c>
      <c r="L48" s="666">
        <v>9</v>
      </c>
      <c r="M48" s="666">
        <v>1</v>
      </c>
      <c r="N48" s="666">
        <v>3</v>
      </c>
      <c r="O48" s="665">
        <v>4</v>
      </c>
      <c r="P48" s="666">
        <f>COUNTA(P9)</f>
        <v>0</v>
      </c>
      <c r="Q48" s="667">
        <v>3</v>
      </c>
      <c r="R48" s="667">
        <v>0</v>
      </c>
      <c r="S48" s="668">
        <v>0</v>
      </c>
      <c r="T48" s="668">
        <v>3</v>
      </c>
      <c r="U48" s="385">
        <f>SUM(B48:T48)</f>
        <v>47</v>
      </c>
    </row>
    <row r="49" spans="1:26" ht="21.75" customHeight="1" x14ac:dyDescent="0.2">
      <c r="A49" s="130" t="s">
        <v>482</v>
      </c>
      <c r="B49" s="128">
        <v>1</v>
      </c>
      <c r="C49" s="128">
        <v>1</v>
      </c>
      <c r="D49" s="128">
        <v>0</v>
      </c>
      <c r="E49" s="128">
        <v>1</v>
      </c>
      <c r="F49" s="304">
        <v>0</v>
      </c>
      <c r="G49" s="304">
        <v>1</v>
      </c>
      <c r="H49" s="304">
        <v>1</v>
      </c>
      <c r="I49" s="304">
        <v>1</v>
      </c>
      <c r="J49" s="304">
        <v>1</v>
      </c>
      <c r="K49" s="128">
        <v>0</v>
      </c>
      <c r="L49" s="128">
        <v>2</v>
      </c>
      <c r="M49" s="128">
        <v>0</v>
      </c>
      <c r="N49" s="128">
        <v>1</v>
      </c>
      <c r="O49" s="130">
        <v>1</v>
      </c>
      <c r="P49" s="128">
        <v>0</v>
      </c>
      <c r="Q49" s="304">
        <v>1</v>
      </c>
      <c r="R49" s="304">
        <v>0</v>
      </c>
      <c r="S49" s="611">
        <v>3</v>
      </c>
      <c r="T49" s="611">
        <v>1</v>
      </c>
      <c r="U49" s="385">
        <f>SUM(B49:T49)</f>
        <v>16</v>
      </c>
    </row>
    <row r="50" spans="1:26" ht="21.75" customHeight="1" x14ac:dyDescent="0.2">
      <c r="A50" s="131" t="s">
        <v>538</v>
      </c>
      <c r="B50" s="129">
        <v>2</v>
      </c>
      <c r="C50" s="129">
        <v>2</v>
      </c>
      <c r="D50" s="129">
        <v>0</v>
      </c>
      <c r="E50" s="129">
        <v>1</v>
      </c>
      <c r="F50" s="129">
        <v>0</v>
      </c>
      <c r="G50" s="129">
        <v>1</v>
      </c>
      <c r="H50" s="129">
        <v>2</v>
      </c>
      <c r="I50" s="129">
        <v>1</v>
      </c>
      <c r="J50" s="129">
        <v>1</v>
      </c>
      <c r="K50" s="129">
        <v>0</v>
      </c>
      <c r="L50" s="129">
        <v>3</v>
      </c>
      <c r="M50" s="129">
        <v>0</v>
      </c>
      <c r="N50" s="129">
        <v>2</v>
      </c>
      <c r="O50" s="131">
        <v>3</v>
      </c>
      <c r="P50" s="129">
        <v>0</v>
      </c>
      <c r="Q50" s="304">
        <v>2</v>
      </c>
      <c r="R50" s="129">
        <v>0</v>
      </c>
      <c r="S50" s="131">
        <v>3</v>
      </c>
      <c r="T50" s="131">
        <v>2</v>
      </c>
      <c r="U50" s="385">
        <f>SUM(B50:T50)</f>
        <v>25</v>
      </c>
    </row>
    <row r="51" spans="1:26" ht="21.75" customHeight="1" x14ac:dyDescent="0.2">
      <c r="A51" s="131" t="s">
        <v>539</v>
      </c>
      <c r="B51" s="129">
        <v>8</v>
      </c>
      <c r="C51" s="129">
        <v>4</v>
      </c>
      <c r="D51" s="129">
        <v>0</v>
      </c>
      <c r="E51" s="129">
        <f>COUNTA(E25:E34)</f>
        <v>9</v>
      </c>
      <c r="F51" s="129">
        <v>0</v>
      </c>
      <c r="G51" s="129">
        <v>3</v>
      </c>
      <c r="H51" s="129">
        <v>8</v>
      </c>
      <c r="I51" s="129">
        <v>4</v>
      </c>
      <c r="J51" s="129">
        <v>6</v>
      </c>
      <c r="K51" s="129">
        <v>0</v>
      </c>
      <c r="L51" s="129">
        <v>7</v>
      </c>
      <c r="M51" s="129">
        <v>0</v>
      </c>
      <c r="N51" s="129">
        <v>8</v>
      </c>
      <c r="O51" s="131">
        <v>8</v>
      </c>
      <c r="P51" s="129">
        <v>0</v>
      </c>
      <c r="Q51" s="129">
        <v>13</v>
      </c>
      <c r="R51" s="129">
        <v>0</v>
      </c>
      <c r="S51" s="131">
        <v>10</v>
      </c>
      <c r="T51" s="131">
        <v>2</v>
      </c>
      <c r="U51" s="385">
        <f>SUM(B51:T51)</f>
        <v>90</v>
      </c>
    </row>
    <row r="52" spans="1:26" s="121" customFormat="1" ht="21.75" customHeight="1" x14ac:dyDescent="0.3">
      <c r="A52" s="132" t="s">
        <v>540</v>
      </c>
      <c r="B52" s="126">
        <f>SUM(B45:B51)</f>
        <v>18</v>
      </c>
      <c r="C52" s="126">
        <f t="shared" ref="C52:S52" si="0">SUM(C45:C51)</f>
        <v>13</v>
      </c>
      <c r="D52" s="126">
        <f>SUM(D45:D51)</f>
        <v>0</v>
      </c>
      <c r="E52" s="126">
        <f>SUM(E45:E51)</f>
        <v>19</v>
      </c>
      <c r="F52" s="126">
        <f>SUM(F45:F51)</f>
        <v>7</v>
      </c>
      <c r="G52" s="126">
        <f t="shared" si="0"/>
        <v>7</v>
      </c>
      <c r="H52" s="126">
        <f t="shared" si="0"/>
        <v>18</v>
      </c>
      <c r="I52" s="126">
        <f t="shared" si="0"/>
        <v>9</v>
      </c>
      <c r="J52" s="126">
        <f t="shared" si="0"/>
        <v>13</v>
      </c>
      <c r="K52" s="126">
        <f t="shared" si="0"/>
        <v>4</v>
      </c>
      <c r="L52" s="126">
        <f t="shared" si="0"/>
        <v>27</v>
      </c>
      <c r="M52" s="126">
        <f t="shared" si="0"/>
        <v>3</v>
      </c>
      <c r="N52" s="126">
        <f>SUM(N45:N51)</f>
        <v>18</v>
      </c>
      <c r="O52" s="126">
        <f t="shared" si="0"/>
        <v>23</v>
      </c>
      <c r="P52" s="126">
        <f t="shared" si="0"/>
        <v>1</v>
      </c>
      <c r="Q52" s="126">
        <f t="shared" si="0"/>
        <v>25</v>
      </c>
      <c r="R52" s="126">
        <f t="shared" si="0"/>
        <v>4</v>
      </c>
      <c r="S52" s="126">
        <f t="shared" si="0"/>
        <v>16</v>
      </c>
      <c r="T52" s="126">
        <f>SUM(T45:T51)</f>
        <v>11</v>
      </c>
      <c r="U52" s="612"/>
      <c r="V52" s="603"/>
      <c r="W52" s="603"/>
      <c r="X52" s="603"/>
      <c r="Y52" s="603"/>
      <c r="Z52" s="603"/>
    </row>
    <row r="53" spans="1:26" ht="15.75" customHeight="1" x14ac:dyDescent="0.25">
      <c r="C53" s="13"/>
      <c r="D53" s="13"/>
      <c r="E53" s="13"/>
      <c r="F53" s="306"/>
      <c r="G53" s="306"/>
      <c r="H53" s="306"/>
      <c r="I53" s="306"/>
      <c r="J53" s="306"/>
      <c r="K53" s="13"/>
      <c r="L53" s="13"/>
      <c r="M53" s="13"/>
      <c r="N53" s="13"/>
      <c r="O53" s="13"/>
      <c r="R53" s="306"/>
      <c r="S53" s="306"/>
    </row>
    <row r="55" spans="1:26" ht="15.75" customHeight="1" x14ac:dyDescent="0.2">
      <c r="T55" s="128" t="s">
        <v>536</v>
      </c>
    </row>
    <row r="56" spans="1:26" ht="15.75" customHeight="1" x14ac:dyDescent="0.2">
      <c r="T56" s="128" t="s">
        <v>537</v>
      </c>
    </row>
    <row r="57" spans="1:26" ht="15.75" customHeight="1" x14ac:dyDescent="0.2">
      <c r="T57" s="129" t="s">
        <v>538</v>
      </c>
    </row>
    <row r="58" spans="1:26" ht="15.75" customHeight="1" x14ac:dyDescent="0.2">
      <c r="T58" s="129" t="s">
        <v>539</v>
      </c>
    </row>
    <row r="60" spans="1:26" ht="15.75" customHeight="1" x14ac:dyDescent="0.2">
      <c r="A60" s="669" t="s">
        <v>303</v>
      </c>
      <c r="B60" s="554" t="s">
        <v>541</v>
      </c>
      <c r="C60" s="554" t="s">
        <v>22</v>
      </c>
      <c r="D60" s="554"/>
    </row>
    <row r="61" spans="1:26" ht="15.75" customHeight="1" x14ac:dyDescent="0.2">
      <c r="A61" s="130" t="s">
        <v>308</v>
      </c>
      <c r="B61" s="128">
        <v>38</v>
      </c>
      <c r="C61" s="128">
        <v>38</v>
      </c>
      <c r="D61" s="128"/>
    </row>
    <row r="62" spans="1:26" ht="15.75" customHeight="1" x14ac:dyDescent="0.2">
      <c r="A62" s="130" t="s">
        <v>309</v>
      </c>
      <c r="B62" s="666">
        <v>41</v>
      </c>
      <c r="C62" s="666">
        <v>38</v>
      </c>
      <c r="D62" s="666"/>
    </row>
    <row r="63" spans="1:26" ht="15.75" customHeight="1" x14ac:dyDescent="0.2">
      <c r="A63" s="665" t="s">
        <v>310</v>
      </c>
      <c r="B63" s="128">
        <v>20</v>
      </c>
      <c r="C63" s="128">
        <v>20</v>
      </c>
      <c r="D63" s="128"/>
    </row>
    <row r="64" spans="1:26" ht="15.75" customHeight="1" x14ac:dyDescent="0.2">
      <c r="A64" s="130" t="s">
        <v>311</v>
      </c>
      <c r="B64" s="129">
        <v>77</v>
      </c>
      <c r="C64" s="129">
        <v>86</v>
      </c>
      <c r="D64" s="129"/>
    </row>
    <row r="65" spans="1:2" ht="15.75" customHeight="1" x14ac:dyDescent="0.2">
      <c r="A65" s="130"/>
      <c r="B65" s="129"/>
    </row>
  </sheetData>
  <conditionalFormatting sqref="A5:U5">
    <cfRule type="notContainsBlanks" dxfId="37" priority="1">
      <formula>LEN(TRIM(A5))&gt;0</formula>
    </cfRule>
  </conditionalFormatting>
  <printOptions horizontalCentered="1"/>
  <pageMargins left="0.7" right="0.7" top="0.75" bottom="0.75" header="0" footer="0"/>
  <pageSetup paperSize="3" scale="92" pageOrder="overThenDown" orientation="landscape" cellComments="atEnd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8819-BFEC-4878-B5E6-60B3EB6BAC0E}">
  <dimension ref="A3:H13"/>
  <sheetViews>
    <sheetView workbookViewId="0">
      <selection activeCell="B6" sqref="B6"/>
    </sheetView>
  </sheetViews>
  <sheetFormatPr defaultColWidth="8.85546875" defaultRowHeight="12.75" x14ac:dyDescent="0.2"/>
  <sheetData>
    <row r="3" spans="1:8" x14ac:dyDescent="0.2">
      <c r="A3" t="s">
        <v>63</v>
      </c>
      <c r="B3">
        <v>8</v>
      </c>
    </row>
    <row r="4" spans="1:8" x14ac:dyDescent="0.2">
      <c r="A4" t="s">
        <v>542</v>
      </c>
      <c r="B4">
        <v>8</v>
      </c>
    </row>
    <row r="5" spans="1:8" x14ac:dyDescent="0.2">
      <c r="A5" t="s">
        <v>128</v>
      </c>
      <c r="B5">
        <v>15</v>
      </c>
    </row>
    <row r="6" spans="1:8" x14ac:dyDescent="0.2">
      <c r="A6" t="s">
        <v>543</v>
      </c>
      <c r="B6">
        <v>20</v>
      </c>
    </row>
    <row r="7" spans="1:8" x14ac:dyDescent="0.2">
      <c r="A7" t="s">
        <v>544</v>
      </c>
    </row>
    <row r="9" spans="1:8" x14ac:dyDescent="0.2">
      <c r="H9">
        <f>550/3</f>
        <v>183.33333333333334</v>
      </c>
    </row>
    <row r="10" spans="1:8" x14ac:dyDescent="0.2">
      <c r="H10">
        <f>380/3</f>
        <v>126.66666666666667</v>
      </c>
    </row>
    <row r="11" spans="1:8" x14ac:dyDescent="0.2">
      <c r="H11">
        <f>H9-H10</f>
        <v>56.666666666666671</v>
      </c>
    </row>
    <row r="13" spans="1:8" x14ac:dyDescent="0.2">
      <c r="B13">
        <f>SUM(B3:B11)</f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C6DF-4FB8-4555-A3CD-0DE4A5159EEE}">
  <sheetPr>
    <outlinePr summaryBelow="0" summaryRight="0"/>
  </sheetPr>
  <dimension ref="A1:AX54"/>
  <sheetViews>
    <sheetView zoomScale="80" zoomScaleNormal="80" workbookViewId="0">
      <pane xSplit="1" topLeftCell="F1" activePane="topRight" state="frozen"/>
      <selection pane="topRight" activeCell="H12" sqref="H12:H15"/>
    </sheetView>
  </sheetViews>
  <sheetFormatPr defaultColWidth="14.42578125" defaultRowHeight="15.75" customHeight="1" x14ac:dyDescent="0.2"/>
  <cols>
    <col min="1" max="1" width="20.85546875" customWidth="1"/>
    <col min="2" max="2" width="24" customWidth="1"/>
    <col min="3" max="3" width="19.140625" customWidth="1"/>
    <col min="4" max="4" width="17.140625" customWidth="1"/>
    <col min="5" max="5" width="22" customWidth="1"/>
    <col min="6" max="6" width="21" bestFit="1" customWidth="1"/>
    <col min="7" max="7" width="20.85546875" customWidth="1"/>
    <col min="8" max="8" width="26" customWidth="1"/>
    <col min="9" max="9" width="20.140625" customWidth="1"/>
    <col min="10" max="10" width="20" customWidth="1"/>
    <col min="11" max="11" width="20.42578125" customWidth="1"/>
    <col min="12" max="12" width="17.42578125" customWidth="1"/>
    <col min="13" max="13" width="24.42578125" customWidth="1"/>
    <col min="14" max="14" width="20.85546875" customWidth="1"/>
    <col min="15" max="15" width="23.7109375" customWidth="1"/>
    <col min="16" max="16" width="18.42578125" bestFit="1" customWidth="1"/>
    <col min="17" max="17" width="23.140625" customWidth="1"/>
    <col min="18" max="18" width="16.140625" bestFit="1" customWidth="1"/>
    <col min="19" max="19" width="25.42578125" bestFit="1" customWidth="1"/>
    <col min="20" max="20" width="26.7109375" bestFit="1" customWidth="1"/>
    <col min="21" max="21" width="25.140625" bestFit="1" customWidth="1"/>
    <col min="22" max="22" width="24.7109375" customWidth="1"/>
    <col min="23" max="23" width="20.85546875" style="123" customWidth="1"/>
    <col min="24" max="50" width="14.42578125" style="123"/>
  </cols>
  <sheetData>
    <row r="1" spans="1:22" s="207" customFormat="1" x14ac:dyDescent="0.25">
      <c r="A1" s="203" t="s">
        <v>0</v>
      </c>
      <c r="B1" s="204" t="s">
        <v>1</v>
      </c>
      <c r="C1" s="204" t="s">
        <v>1</v>
      </c>
      <c r="D1" s="204" t="s">
        <v>1</v>
      </c>
      <c r="E1" s="204" t="s">
        <v>84</v>
      </c>
      <c r="F1" s="204" t="s">
        <v>545</v>
      </c>
      <c r="G1" s="204" t="s">
        <v>546</v>
      </c>
      <c r="H1" s="204" t="s">
        <v>4</v>
      </c>
      <c r="I1" s="204" t="s">
        <v>4</v>
      </c>
      <c r="J1" s="204" t="s">
        <v>524</v>
      </c>
      <c r="K1" s="204" t="s">
        <v>4</v>
      </c>
      <c r="L1" s="204" t="s">
        <v>524</v>
      </c>
      <c r="M1" s="204" t="s">
        <v>1</v>
      </c>
      <c r="N1" s="204" t="s">
        <v>547</v>
      </c>
      <c r="O1" s="204" t="s">
        <v>4</v>
      </c>
      <c r="P1" s="204" t="s">
        <v>1</v>
      </c>
      <c r="Q1" s="204" t="s">
        <v>4</v>
      </c>
      <c r="R1" s="204"/>
      <c r="S1" s="204"/>
      <c r="T1" s="205"/>
      <c r="U1" s="205"/>
      <c r="V1" s="206"/>
    </row>
    <row r="2" spans="1:22" s="123" customFormat="1" x14ac:dyDescent="0.25">
      <c r="A2" s="217" t="s">
        <v>10</v>
      </c>
      <c r="B2" s="218" t="s">
        <v>548</v>
      </c>
      <c r="C2" s="218" t="s">
        <v>549</v>
      </c>
      <c r="D2" s="218" t="s">
        <v>550</v>
      </c>
      <c r="E2" s="218" t="s">
        <v>13</v>
      </c>
      <c r="F2" s="218" t="s">
        <v>13</v>
      </c>
      <c r="G2" s="218" t="s">
        <v>13</v>
      </c>
      <c r="H2" s="218" t="s">
        <v>525</v>
      </c>
      <c r="I2" s="218" t="s">
        <v>551</v>
      </c>
      <c r="J2" s="218" t="s">
        <v>551</v>
      </c>
      <c r="K2" s="218" t="s">
        <v>525</v>
      </c>
      <c r="L2" s="218" t="s">
        <v>525</v>
      </c>
      <c r="M2" s="218" t="s">
        <v>552</v>
      </c>
      <c r="N2" s="218" t="s">
        <v>28</v>
      </c>
      <c r="O2" s="218" t="s">
        <v>553</v>
      </c>
      <c r="P2" s="218" t="s">
        <v>554</v>
      </c>
      <c r="Q2" s="218" t="s">
        <v>555</v>
      </c>
      <c r="R2" s="218" t="s">
        <v>21</v>
      </c>
      <c r="S2" s="219" t="s">
        <v>13</v>
      </c>
      <c r="T2" s="219" t="s">
        <v>22</v>
      </c>
      <c r="U2" s="221" t="s">
        <v>8</v>
      </c>
      <c r="V2" s="222"/>
    </row>
    <row r="3" spans="1:22" s="207" customFormat="1" x14ac:dyDescent="0.25">
      <c r="A3" s="208" t="s">
        <v>23</v>
      </c>
      <c r="B3" s="209" t="s">
        <v>13</v>
      </c>
      <c r="C3" s="209" t="s">
        <v>13</v>
      </c>
      <c r="D3" s="209" t="s">
        <v>556</v>
      </c>
      <c r="E3" s="209" t="s">
        <v>13</v>
      </c>
      <c r="F3" s="209" t="s">
        <v>13</v>
      </c>
      <c r="G3" s="209" t="s">
        <v>13</v>
      </c>
      <c r="H3" s="209" t="s">
        <v>557</v>
      </c>
      <c r="I3" s="209" t="s">
        <v>28</v>
      </c>
      <c r="J3" s="209" t="s">
        <v>28</v>
      </c>
      <c r="K3" s="209" t="s">
        <v>28</v>
      </c>
      <c r="L3" s="209" t="s">
        <v>28</v>
      </c>
      <c r="M3" s="209" t="s">
        <v>28</v>
      </c>
      <c r="N3" s="209" t="s">
        <v>28</v>
      </c>
      <c r="O3" s="209" t="s">
        <v>558</v>
      </c>
      <c r="P3" s="209" t="s">
        <v>558</v>
      </c>
      <c r="Q3" s="209" t="s">
        <v>558</v>
      </c>
      <c r="R3" s="209" t="s">
        <v>30</v>
      </c>
      <c r="S3" s="210" t="s">
        <v>25</v>
      </c>
      <c r="T3" s="219" t="s">
        <v>13</v>
      </c>
      <c r="U3" s="211" t="s">
        <v>8</v>
      </c>
      <c r="V3" s="212"/>
    </row>
    <row r="4" spans="1:22" s="123" customFormat="1" x14ac:dyDescent="0.25">
      <c r="A4" s="223" t="s">
        <v>31</v>
      </c>
      <c r="B4" s="224" t="s">
        <v>40</v>
      </c>
      <c r="C4" s="224" t="s">
        <v>40</v>
      </c>
      <c r="D4" s="224" t="s">
        <v>40</v>
      </c>
      <c r="E4" s="224" t="s">
        <v>105</v>
      </c>
      <c r="F4" s="224" t="s">
        <v>40</v>
      </c>
      <c r="G4" s="224" t="s">
        <v>40</v>
      </c>
      <c r="H4" s="224" t="s">
        <v>559</v>
      </c>
      <c r="I4" s="224" t="s">
        <v>105</v>
      </c>
      <c r="J4" s="224" t="s">
        <v>105</v>
      </c>
      <c r="K4" s="224" t="s">
        <v>40</v>
      </c>
      <c r="L4" s="224" t="s">
        <v>40</v>
      </c>
      <c r="M4" s="224" t="s">
        <v>40</v>
      </c>
      <c r="N4" s="224" t="s">
        <v>40</v>
      </c>
      <c r="O4" s="224" t="s">
        <v>36</v>
      </c>
      <c r="P4" s="224" t="s">
        <v>36</v>
      </c>
      <c r="Q4" s="224" t="s">
        <v>560</v>
      </c>
      <c r="R4" s="224"/>
      <c r="S4" s="225"/>
      <c r="T4" s="220"/>
      <c r="U4" s="221" t="s">
        <v>41</v>
      </c>
      <c r="V4" s="222"/>
    </row>
    <row r="5" spans="1:22" s="227" customFormat="1" x14ac:dyDescent="0.25">
      <c r="A5" s="226" t="s">
        <v>42</v>
      </c>
      <c r="B5" s="213" t="s">
        <v>561</v>
      </c>
      <c r="C5" s="213" t="s">
        <v>562</v>
      </c>
      <c r="D5" s="213" t="s">
        <v>563</v>
      </c>
      <c r="E5" s="213" t="s">
        <v>564</v>
      </c>
      <c r="F5" s="213" t="s">
        <v>57</v>
      </c>
      <c r="G5" s="213" t="s">
        <v>565</v>
      </c>
      <c r="H5" s="213" t="s">
        <v>566</v>
      </c>
      <c r="I5" s="213" t="s">
        <v>567</v>
      </c>
      <c r="J5" s="213" t="s">
        <v>568</v>
      </c>
      <c r="K5" s="213" t="s">
        <v>569</v>
      </c>
      <c r="L5" s="213" t="s">
        <v>53</v>
      </c>
      <c r="M5" s="213" t="s">
        <v>570</v>
      </c>
      <c r="N5" s="213" t="s">
        <v>571</v>
      </c>
      <c r="O5" s="213" t="s">
        <v>572</v>
      </c>
      <c r="P5" s="213" t="s">
        <v>573</v>
      </c>
      <c r="Q5" s="214" t="s">
        <v>574</v>
      </c>
      <c r="R5" s="213" t="s">
        <v>46</v>
      </c>
      <c r="S5" s="213" t="s">
        <v>575</v>
      </c>
      <c r="T5" s="215"/>
      <c r="U5" s="215"/>
      <c r="V5" s="216" t="s">
        <v>57</v>
      </c>
    </row>
    <row r="6" spans="1:22" ht="38.25" customHeight="1" x14ac:dyDescent="0.3">
      <c r="A6" s="125"/>
      <c r="B6" s="420" t="s">
        <v>60</v>
      </c>
      <c r="C6" s="168" t="s">
        <v>61</v>
      </c>
      <c r="D6" s="420" t="s">
        <v>62</v>
      </c>
      <c r="E6" s="168" t="s">
        <v>63</v>
      </c>
      <c r="F6" s="420" t="s">
        <v>576</v>
      </c>
      <c r="G6" s="169" t="s">
        <v>69</v>
      </c>
      <c r="H6" s="421" t="s">
        <v>70</v>
      </c>
      <c r="I6" s="422" t="s">
        <v>577</v>
      </c>
      <c r="J6" s="420" t="s">
        <v>578</v>
      </c>
      <c r="K6" s="422" t="s">
        <v>73</v>
      </c>
      <c r="L6" s="421" t="s">
        <v>527</v>
      </c>
      <c r="M6" s="422" t="s">
        <v>74</v>
      </c>
      <c r="N6" s="420" t="s">
        <v>65</v>
      </c>
      <c r="O6" s="422" t="s">
        <v>66</v>
      </c>
      <c r="P6" s="420" t="s">
        <v>67</v>
      </c>
      <c r="Q6" s="424" t="s">
        <v>68</v>
      </c>
      <c r="R6" s="426" t="s">
        <v>75</v>
      </c>
      <c r="S6" s="423" t="s">
        <v>64</v>
      </c>
      <c r="T6" s="420" t="s">
        <v>579</v>
      </c>
      <c r="U6" s="168" t="s">
        <v>76</v>
      </c>
      <c r="V6" s="425" t="s">
        <v>580</v>
      </c>
    </row>
    <row r="7" spans="1:22" ht="18.75" x14ac:dyDescent="0.3">
      <c r="A7" s="172" t="s">
        <v>79</v>
      </c>
      <c r="B7" s="419" t="s">
        <v>80</v>
      </c>
      <c r="C7" s="229" t="s">
        <v>80</v>
      </c>
      <c r="D7" s="517" t="s">
        <v>80</v>
      </c>
      <c r="E7" s="230" t="s">
        <v>80</v>
      </c>
      <c r="F7" s="228" t="s">
        <v>80</v>
      </c>
      <c r="G7" s="228" t="s">
        <v>80</v>
      </c>
      <c r="H7" s="419" t="s">
        <v>80</v>
      </c>
      <c r="I7" s="419" t="s">
        <v>80</v>
      </c>
      <c r="J7" s="228" t="s">
        <v>80</v>
      </c>
      <c r="K7" s="419" t="s">
        <v>80</v>
      </c>
      <c r="L7" s="534" t="s">
        <v>112</v>
      </c>
      <c r="M7" s="231" t="s">
        <v>80</v>
      </c>
      <c r="N7" s="231" t="s">
        <v>80</v>
      </c>
      <c r="O7" s="231" t="s">
        <v>80</v>
      </c>
      <c r="P7" s="231" t="s">
        <v>80</v>
      </c>
      <c r="Q7" s="232" t="s">
        <v>80</v>
      </c>
      <c r="R7" s="233" t="s">
        <v>80</v>
      </c>
      <c r="S7" s="231" t="s">
        <v>80</v>
      </c>
      <c r="T7" s="419" t="s">
        <v>112</v>
      </c>
      <c r="U7" s="315" t="s">
        <v>128</v>
      </c>
      <c r="V7" s="234" t="s">
        <v>581</v>
      </c>
    </row>
    <row r="8" spans="1:22" ht="23.25" customHeight="1" x14ac:dyDescent="0.2">
      <c r="A8" s="515" t="s">
        <v>82</v>
      </c>
      <c r="B8" s="514" t="s">
        <v>582</v>
      </c>
      <c r="C8" s="236" t="s">
        <v>582</v>
      </c>
      <c r="D8" s="514" t="s">
        <v>583</v>
      </c>
      <c r="E8" s="236" t="s">
        <v>84</v>
      </c>
      <c r="F8" s="237" t="s">
        <v>88</v>
      </c>
      <c r="G8" s="237" t="s">
        <v>6</v>
      </c>
      <c r="H8" s="448" t="s">
        <v>584</v>
      </c>
      <c r="I8" s="453" t="s">
        <v>585</v>
      </c>
      <c r="J8" s="242" t="s">
        <v>585</v>
      </c>
      <c r="K8" s="533" t="s">
        <v>586</v>
      </c>
      <c r="L8" s="532" t="s">
        <v>528</v>
      </c>
      <c r="M8" s="236" t="s">
        <v>26</v>
      </c>
      <c r="N8" s="237" t="s">
        <v>6</v>
      </c>
      <c r="O8" s="238" t="s">
        <v>587</v>
      </c>
      <c r="P8" s="238" t="s">
        <v>587</v>
      </c>
      <c r="Q8" s="238" t="s">
        <v>587</v>
      </c>
      <c r="R8" s="239" t="s">
        <v>588</v>
      </c>
      <c r="S8" s="240" t="s">
        <v>589</v>
      </c>
      <c r="T8" s="495" t="s">
        <v>590</v>
      </c>
      <c r="U8" s="494" t="s">
        <v>591</v>
      </c>
      <c r="V8" s="439" t="s">
        <v>93</v>
      </c>
    </row>
    <row r="9" spans="1:22" ht="18.75" x14ac:dyDescent="0.2">
      <c r="A9" s="247" t="s">
        <v>94</v>
      </c>
      <c r="B9" s="435" t="s">
        <v>592</v>
      </c>
      <c r="C9" s="242" t="s">
        <v>592</v>
      </c>
      <c r="D9" s="435" t="s">
        <v>592</v>
      </c>
      <c r="E9" s="242" t="s">
        <v>12</v>
      </c>
      <c r="F9" s="419" t="s">
        <v>112</v>
      </c>
      <c r="G9" s="228" t="s">
        <v>112</v>
      </c>
      <c r="H9" s="441" t="s">
        <v>99</v>
      </c>
      <c r="I9" s="454" t="s">
        <v>99</v>
      </c>
      <c r="J9" s="228" t="s">
        <v>503</v>
      </c>
      <c r="K9" s="436" t="s">
        <v>99</v>
      </c>
      <c r="L9" s="271"/>
      <c r="M9" s="243" t="s">
        <v>593</v>
      </c>
      <c r="N9" s="229" t="s">
        <v>99</v>
      </c>
      <c r="O9" s="242"/>
      <c r="P9" s="245" t="s">
        <v>594</v>
      </c>
      <c r="Q9" s="245" t="s">
        <v>594</v>
      </c>
      <c r="R9" s="230" t="s">
        <v>112</v>
      </c>
      <c r="S9" s="228" t="s">
        <v>112</v>
      </c>
      <c r="T9" s="241" t="s">
        <v>9</v>
      </c>
      <c r="U9" s="494" t="s">
        <v>595</v>
      </c>
      <c r="V9" s="439" t="s">
        <v>97</v>
      </c>
    </row>
    <row r="10" spans="1:22" ht="18.75" x14ac:dyDescent="0.2">
      <c r="A10" s="165" t="s">
        <v>98</v>
      </c>
      <c r="B10" s="516" t="s">
        <v>99</v>
      </c>
      <c r="C10" s="228" t="s">
        <v>99</v>
      </c>
      <c r="D10" s="518" t="s">
        <v>99</v>
      </c>
      <c r="E10" s="521" t="s">
        <v>596</v>
      </c>
      <c r="F10" s="443" t="s">
        <v>597</v>
      </c>
      <c r="G10" s="519" t="s">
        <v>121</v>
      </c>
      <c r="H10" s="449" t="s">
        <v>598</v>
      </c>
      <c r="I10" s="453" t="s">
        <v>105</v>
      </c>
      <c r="J10" s="239" t="s">
        <v>105</v>
      </c>
      <c r="K10" s="263" t="s">
        <v>40</v>
      </c>
      <c r="L10" s="252"/>
      <c r="M10" s="229" t="s">
        <v>99</v>
      </c>
      <c r="N10" s="239" t="s">
        <v>40</v>
      </c>
      <c r="O10" s="229" t="s">
        <v>99</v>
      </c>
      <c r="P10" s="251" t="s">
        <v>599</v>
      </c>
      <c r="Q10" s="251" t="s">
        <v>599</v>
      </c>
      <c r="R10" s="250" t="s">
        <v>600</v>
      </c>
      <c r="S10" s="493" t="s">
        <v>117</v>
      </c>
      <c r="T10" s="496" t="s">
        <v>529</v>
      </c>
      <c r="U10" s="494" t="s">
        <v>601</v>
      </c>
      <c r="V10" s="260"/>
    </row>
    <row r="11" spans="1:22" ht="18.75" x14ac:dyDescent="0.25">
      <c r="A11" s="166" t="s">
        <v>102</v>
      </c>
      <c r="B11" s="255" t="s">
        <v>602</v>
      </c>
      <c r="C11" s="256" t="s">
        <v>231</v>
      </c>
      <c r="D11" s="256" t="s">
        <v>603</v>
      </c>
      <c r="E11" s="249" t="s">
        <v>99</v>
      </c>
      <c r="F11" s="458" t="s">
        <v>604</v>
      </c>
      <c r="G11" s="280" t="s">
        <v>136</v>
      </c>
      <c r="H11" s="429" t="s">
        <v>112</v>
      </c>
      <c r="I11" s="455" t="s">
        <v>112</v>
      </c>
      <c r="J11" s="230" t="s">
        <v>112</v>
      </c>
      <c r="K11" s="429" t="s">
        <v>112</v>
      </c>
      <c r="L11" s="258"/>
      <c r="M11" s="237" t="s">
        <v>40</v>
      </c>
      <c r="N11" s="229" t="s">
        <v>112</v>
      </c>
      <c r="O11" s="238" t="s">
        <v>605</v>
      </c>
      <c r="P11" s="228" t="s">
        <v>99</v>
      </c>
      <c r="Q11" s="229" t="s">
        <v>99</v>
      </c>
      <c r="R11" s="259" t="s">
        <v>127</v>
      </c>
      <c r="S11" s="267" t="s">
        <v>147</v>
      </c>
      <c r="T11" s="496" t="s">
        <v>606</v>
      </c>
      <c r="U11" s="494" t="s">
        <v>195</v>
      </c>
      <c r="V11" s="260"/>
    </row>
    <row r="12" spans="1:22" ht="18.75" x14ac:dyDescent="0.25">
      <c r="A12" s="167" t="s">
        <v>110</v>
      </c>
      <c r="B12" s="230" t="s">
        <v>111</v>
      </c>
      <c r="C12" s="419" t="s">
        <v>112</v>
      </c>
      <c r="D12" s="419" t="s">
        <v>112</v>
      </c>
      <c r="E12" s="520" t="s">
        <v>105</v>
      </c>
      <c r="F12" s="252"/>
      <c r="G12" s="244" t="s">
        <v>151</v>
      </c>
      <c r="H12" s="450" t="s">
        <v>607</v>
      </c>
      <c r="I12" s="456" t="s">
        <v>608</v>
      </c>
      <c r="J12" s="280" t="s">
        <v>609</v>
      </c>
      <c r="K12" s="443" t="s">
        <v>610</v>
      </c>
      <c r="L12" s="252"/>
      <c r="M12" s="429" t="s">
        <v>112</v>
      </c>
      <c r="N12" s="250" t="s">
        <v>118</v>
      </c>
      <c r="O12" s="429" t="s">
        <v>112</v>
      </c>
      <c r="P12" s="238" t="s">
        <v>605</v>
      </c>
      <c r="Q12" s="238" t="s">
        <v>605</v>
      </c>
      <c r="R12" s="259" t="s">
        <v>611</v>
      </c>
      <c r="S12" s="267" t="s">
        <v>612</v>
      </c>
      <c r="T12" s="282" t="s">
        <v>613</v>
      </c>
      <c r="U12" s="494" t="s">
        <v>204</v>
      </c>
      <c r="V12" s="260"/>
    </row>
    <row r="13" spans="1:22" ht="18.75" x14ac:dyDescent="0.25">
      <c r="A13" s="122"/>
      <c r="B13" s="265" t="s">
        <v>172</v>
      </c>
      <c r="C13" s="443" t="s">
        <v>614</v>
      </c>
      <c r="D13" s="463" t="s">
        <v>615</v>
      </c>
      <c r="E13" s="229" t="s">
        <v>112</v>
      </c>
      <c r="F13" s="252"/>
      <c r="G13" s="252"/>
      <c r="H13" s="299" t="s">
        <v>616</v>
      </c>
      <c r="I13" s="457" t="s">
        <v>617</v>
      </c>
      <c r="J13" s="259" t="s">
        <v>618</v>
      </c>
      <c r="K13" s="241" t="s">
        <v>619</v>
      </c>
      <c r="L13" s="264"/>
      <c r="M13" s="241" t="s">
        <v>620</v>
      </c>
      <c r="N13" s="513" t="s">
        <v>128</v>
      </c>
      <c r="O13" s="430" t="s">
        <v>621</v>
      </c>
      <c r="P13" s="230" t="s">
        <v>112</v>
      </c>
      <c r="Q13" s="263" t="s">
        <v>622</v>
      </c>
      <c r="R13" s="275" t="s">
        <v>623</v>
      </c>
      <c r="S13" s="273" t="s">
        <v>162</v>
      </c>
      <c r="U13" s="164" t="s">
        <v>211</v>
      </c>
      <c r="V13" s="260"/>
    </row>
    <row r="14" spans="1:22" ht="18.75" x14ac:dyDescent="0.25">
      <c r="A14" s="122"/>
      <c r="B14" s="266" t="s">
        <v>624</v>
      </c>
      <c r="C14" s="535" t="s">
        <v>625</v>
      </c>
      <c r="D14" s="439" t="s">
        <v>626</v>
      </c>
      <c r="E14" s="522"/>
      <c r="F14" s="269"/>
      <c r="G14" s="269"/>
      <c r="H14" s="268" t="s">
        <v>627</v>
      </c>
      <c r="I14" s="285" t="s">
        <v>628</v>
      </c>
      <c r="J14" s="259" t="s">
        <v>629</v>
      </c>
      <c r="K14" s="241" t="s">
        <v>630</v>
      </c>
      <c r="L14" s="271"/>
      <c r="M14" s="241" t="s">
        <v>631</v>
      </c>
      <c r="N14" s="432" t="s">
        <v>547</v>
      </c>
      <c r="O14" s="431" t="s">
        <v>632</v>
      </c>
      <c r="P14" s="433" t="s">
        <v>633</v>
      </c>
      <c r="Q14" s="429" t="s">
        <v>112</v>
      </c>
      <c r="S14" s="273" t="s">
        <v>175</v>
      </c>
      <c r="T14" s="264"/>
      <c r="U14" s="164" t="s">
        <v>634</v>
      </c>
      <c r="V14" s="260"/>
    </row>
    <row r="15" spans="1:22" ht="18.75" x14ac:dyDescent="0.25">
      <c r="A15" s="122"/>
      <c r="B15" s="276" t="s">
        <v>635</v>
      </c>
      <c r="C15" s="535" t="s">
        <v>636</v>
      </c>
      <c r="D15" s="507" t="s">
        <v>128</v>
      </c>
      <c r="E15" s="285" t="s">
        <v>637</v>
      </c>
      <c r="F15" s="261"/>
      <c r="G15" s="261"/>
      <c r="H15" s="241" t="s">
        <v>638</v>
      </c>
      <c r="I15" s="457" t="s">
        <v>639</v>
      </c>
      <c r="J15" s="280" t="s">
        <v>640</v>
      </c>
      <c r="K15" s="270" t="s">
        <v>641</v>
      </c>
      <c r="L15" s="252"/>
      <c r="M15" s="241" t="s">
        <v>642</v>
      </c>
      <c r="N15" s="247" t="s">
        <v>163</v>
      </c>
      <c r="O15" s="417" t="s">
        <v>643</v>
      </c>
      <c r="P15" s="434" t="s">
        <v>644</v>
      </c>
      <c r="Q15" s="427" t="s">
        <v>645</v>
      </c>
      <c r="R15" s="278"/>
      <c r="S15" s="282" t="s">
        <v>646</v>
      </c>
      <c r="T15" s="252"/>
      <c r="U15" s="164" t="s">
        <v>647</v>
      </c>
      <c r="V15" s="260"/>
    </row>
    <row r="16" spans="1:22" x14ac:dyDescent="0.25">
      <c r="A16" s="122"/>
      <c r="B16" s="276" t="s">
        <v>648</v>
      </c>
      <c r="C16" s="535" t="s">
        <v>649</v>
      </c>
      <c r="D16" s="494" t="s">
        <v>650</v>
      </c>
      <c r="E16" s="445" t="s">
        <v>651</v>
      </c>
      <c r="F16" s="261"/>
      <c r="G16" s="261"/>
      <c r="H16" s="450" t="s">
        <v>652</v>
      </c>
      <c r="I16" s="285" t="s">
        <v>653</v>
      </c>
      <c r="J16" s="280" t="s">
        <v>654</v>
      </c>
      <c r="K16" s="241" t="s">
        <v>655</v>
      </c>
      <c r="L16" s="252"/>
      <c r="M16" s="241" t="s">
        <v>656</v>
      </c>
      <c r="N16" s="281" t="s">
        <v>176</v>
      </c>
      <c r="O16" s="273" t="s">
        <v>657</v>
      </c>
      <c r="P16" s="418" t="s">
        <v>658</v>
      </c>
      <c r="Q16" s="417" t="s">
        <v>659</v>
      </c>
      <c r="R16" s="278"/>
      <c r="S16" s="282" t="s">
        <v>660</v>
      </c>
      <c r="T16" s="252"/>
      <c r="U16" s="164" t="s">
        <v>220</v>
      </c>
      <c r="V16" s="260"/>
    </row>
    <row r="17" spans="1:25" x14ac:dyDescent="0.25">
      <c r="A17" s="122"/>
      <c r="B17" s="276" t="s">
        <v>661</v>
      </c>
      <c r="C17" s="536" t="s">
        <v>662</v>
      </c>
      <c r="D17" s="494" t="s">
        <v>663</v>
      </c>
      <c r="E17" s="442" t="s">
        <v>664</v>
      </c>
      <c r="F17" s="261"/>
      <c r="G17" s="261"/>
      <c r="H17" s="451" t="s">
        <v>617</v>
      </c>
      <c r="I17" s="458" t="s">
        <v>665</v>
      </c>
      <c r="J17" s="257" t="s">
        <v>666</v>
      </c>
      <c r="K17" s="504" t="s">
        <v>667</v>
      </c>
      <c r="L17" s="252"/>
      <c r="M17" s="241" t="s">
        <v>668</v>
      </c>
      <c r="O17" s="282" t="s">
        <v>669</v>
      </c>
      <c r="P17" s="418" t="s">
        <v>670</v>
      </c>
      <c r="Q17" s="274" t="s">
        <v>671</v>
      </c>
      <c r="R17" s="278"/>
      <c r="S17" s="282" t="s">
        <v>660</v>
      </c>
      <c r="T17" s="252"/>
      <c r="U17" s="287" t="s">
        <v>229</v>
      </c>
      <c r="V17" s="260"/>
      <c r="W17" s="261"/>
      <c r="Y17" s="159"/>
    </row>
    <row r="18" spans="1:25" ht="19.5" customHeight="1" x14ac:dyDescent="0.25">
      <c r="A18" s="122"/>
      <c r="B18" s="506" t="s">
        <v>128</v>
      </c>
      <c r="C18" s="537" t="s">
        <v>128</v>
      </c>
      <c r="E18" s="295" t="s">
        <v>672</v>
      </c>
      <c r="F18" s="261"/>
      <c r="G18" s="261"/>
      <c r="H18" s="452" t="s">
        <v>673</v>
      </c>
      <c r="I18" s="447" t="s">
        <v>674</v>
      </c>
      <c r="J18" s="437" t="s">
        <v>675</v>
      </c>
      <c r="K18" s="273" t="s">
        <v>676</v>
      </c>
      <c r="L18" s="252"/>
      <c r="M18" s="241" t="s">
        <v>677</v>
      </c>
      <c r="N18" s="290"/>
      <c r="O18" s="523" t="s">
        <v>678</v>
      </c>
      <c r="P18" s="511" t="s">
        <v>128</v>
      </c>
      <c r="Q18" s="500" t="s">
        <v>679</v>
      </c>
      <c r="R18" s="278"/>
      <c r="T18" s="252"/>
      <c r="V18" s="260"/>
      <c r="W18" s="261"/>
      <c r="Y18" s="159"/>
    </row>
    <row r="19" spans="1:25" ht="19.5" customHeight="1" x14ac:dyDescent="0.25">
      <c r="A19" s="122"/>
      <c r="B19" s="444" t="s">
        <v>680</v>
      </c>
      <c r="C19" s="459" t="s">
        <v>681</v>
      </c>
      <c r="D19" s="252"/>
      <c r="E19" s="508" t="s">
        <v>128</v>
      </c>
      <c r="F19" s="277"/>
      <c r="G19" s="277"/>
      <c r="H19" s="509" t="s">
        <v>128</v>
      </c>
      <c r="I19" s="447" t="s">
        <v>682</v>
      </c>
      <c r="J19" s="511" t="s">
        <v>128</v>
      </c>
      <c r="K19" s="450" t="s">
        <v>683</v>
      </c>
      <c r="L19" s="264"/>
      <c r="M19" s="241" t="s">
        <v>684</v>
      </c>
      <c r="N19" s="290"/>
      <c r="O19" s="511" t="s">
        <v>214</v>
      </c>
      <c r="P19" s="524" t="s">
        <v>685</v>
      </c>
      <c r="Q19" s="525" t="s">
        <v>128</v>
      </c>
      <c r="R19" s="278"/>
      <c r="S19" s="284"/>
      <c r="T19" s="279"/>
      <c r="U19" s="260"/>
      <c r="V19" s="261"/>
      <c r="W19" s="252"/>
      <c r="Y19" s="159"/>
    </row>
    <row r="20" spans="1:25" ht="20.25" customHeight="1" x14ac:dyDescent="0.25">
      <c r="A20" s="122"/>
      <c r="B20" s="164" t="s">
        <v>686</v>
      </c>
      <c r="C20" s="494" t="s">
        <v>687</v>
      </c>
      <c r="D20" s="252"/>
      <c r="E20" s="459" t="s">
        <v>688</v>
      </c>
      <c r="F20" s="277"/>
      <c r="G20" s="277"/>
      <c r="H20" s="446" t="s">
        <v>689</v>
      </c>
      <c r="I20" s="447" t="s">
        <v>690</v>
      </c>
      <c r="J20" s="502" t="s">
        <v>691</v>
      </c>
      <c r="K20" s="450" t="s">
        <v>692</v>
      </c>
      <c r="L20" s="264"/>
      <c r="M20" s="241" t="s">
        <v>693</v>
      </c>
      <c r="N20" s="290"/>
      <c r="O20" s="529" t="s">
        <v>694</v>
      </c>
      <c r="P20" s="528" t="s">
        <v>695</v>
      </c>
      <c r="Q20" s="526" t="s">
        <v>622</v>
      </c>
      <c r="R20" s="278"/>
      <c r="S20" s="284"/>
      <c r="T20" s="279"/>
      <c r="U20" s="264"/>
      <c r="V20" s="264"/>
      <c r="W20" s="252"/>
      <c r="Y20" s="159"/>
    </row>
    <row r="21" spans="1:25" ht="18.75" x14ac:dyDescent="0.25">
      <c r="A21" s="122"/>
      <c r="B21" s="164" t="s">
        <v>696</v>
      </c>
      <c r="C21" s="494" t="s">
        <v>697</v>
      </c>
      <c r="D21" s="252"/>
      <c r="E21" s="301" t="s">
        <v>698</v>
      </c>
      <c r="F21" s="283"/>
      <c r="G21" s="283"/>
      <c r="H21" s="164" t="s">
        <v>699</v>
      </c>
      <c r="I21" s="510" t="s">
        <v>128</v>
      </c>
      <c r="J21" s="503" t="s">
        <v>700</v>
      </c>
      <c r="K21" s="450" t="s">
        <v>701</v>
      </c>
      <c r="L21" s="252"/>
      <c r="M21" s="241" t="s">
        <v>702</v>
      </c>
      <c r="N21" s="284"/>
      <c r="O21" s="524" t="s">
        <v>703</v>
      </c>
      <c r="P21" s="528" t="s">
        <v>704</v>
      </c>
      <c r="Q21" s="527" t="s">
        <v>705</v>
      </c>
      <c r="R21" s="278"/>
      <c r="S21" s="290"/>
      <c r="T21" s="252"/>
      <c r="U21" s="264"/>
      <c r="V21" s="264"/>
      <c r="W21" s="252"/>
      <c r="Y21" s="159"/>
    </row>
    <row r="22" spans="1:25" ht="18.75" x14ac:dyDescent="0.25">
      <c r="A22" s="122"/>
      <c r="B22" s="164" t="s">
        <v>706</v>
      </c>
      <c r="C22" s="494" t="s">
        <v>707</v>
      </c>
      <c r="D22" s="252"/>
      <c r="E22" s="164" t="s">
        <v>708</v>
      </c>
      <c r="F22" s="260"/>
      <c r="G22" s="260"/>
      <c r="H22" s="164" t="s">
        <v>709</v>
      </c>
      <c r="I22" s="463" t="s">
        <v>691</v>
      </c>
      <c r="J22" s="164" t="s">
        <v>710</v>
      </c>
      <c r="K22" s="505" t="s">
        <v>711</v>
      </c>
      <c r="L22" s="252"/>
      <c r="M22" s="512" t="s">
        <v>128</v>
      </c>
      <c r="N22" s="286"/>
      <c r="O22" s="524" t="s">
        <v>712</v>
      </c>
      <c r="P22" s="528" t="s">
        <v>713</v>
      </c>
      <c r="Q22" s="528" t="s">
        <v>714</v>
      </c>
      <c r="R22" s="252"/>
      <c r="S22" s="290"/>
      <c r="T22" s="252"/>
      <c r="U22" s="264"/>
      <c r="V22" s="264"/>
      <c r="W22" s="252"/>
      <c r="Y22" s="159"/>
    </row>
    <row r="23" spans="1:25" ht="18.75" x14ac:dyDescent="0.25">
      <c r="A23" s="122"/>
      <c r="B23" s="164" t="s">
        <v>715</v>
      </c>
      <c r="C23" s="494" t="s">
        <v>716</v>
      </c>
      <c r="D23" s="252"/>
      <c r="E23" s="164" t="s">
        <v>717</v>
      </c>
      <c r="F23" s="260"/>
      <c r="G23" s="260"/>
      <c r="H23" s="164" t="s">
        <v>718</v>
      </c>
      <c r="I23" s="259" t="s">
        <v>719</v>
      </c>
      <c r="J23" s="164" t="s">
        <v>720</v>
      </c>
      <c r="K23" s="510" t="s">
        <v>128</v>
      </c>
      <c r="L23" s="289"/>
      <c r="M23" s="164" t="s">
        <v>721</v>
      </c>
      <c r="N23" s="290"/>
      <c r="O23" s="524" t="s">
        <v>722</v>
      </c>
      <c r="P23" s="528" t="s">
        <v>723</v>
      </c>
      <c r="Q23" s="528" t="s">
        <v>724</v>
      </c>
      <c r="R23" s="252"/>
      <c r="S23" s="290"/>
      <c r="T23" s="252"/>
      <c r="U23" s="264"/>
      <c r="V23" s="264"/>
      <c r="W23" s="284"/>
    </row>
    <row r="24" spans="1:25" ht="18.75" x14ac:dyDescent="0.25">
      <c r="A24" s="122"/>
      <c r="B24" s="164" t="s">
        <v>725</v>
      </c>
      <c r="C24" s="499" t="s">
        <v>726</v>
      </c>
      <c r="D24" s="252"/>
      <c r="E24" s="287" t="s">
        <v>727</v>
      </c>
      <c r="F24" s="252"/>
      <c r="G24" s="252"/>
      <c r="H24" s="164" t="s">
        <v>728</v>
      </c>
      <c r="I24" s="272" t="s">
        <v>729</v>
      </c>
      <c r="J24" s="164" t="s">
        <v>730</v>
      </c>
      <c r="K24" s="460" t="s">
        <v>731</v>
      </c>
      <c r="L24" s="277"/>
      <c r="M24" s="164" t="s">
        <v>502</v>
      </c>
      <c r="N24" s="290"/>
      <c r="O24" s="524" t="s">
        <v>732</v>
      </c>
      <c r="P24" s="528" t="s">
        <v>733</v>
      </c>
      <c r="Q24" s="528" t="s">
        <v>734</v>
      </c>
      <c r="R24" s="284"/>
      <c r="S24" s="252"/>
      <c r="T24" s="284"/>
      <c r="U24" s="284"/>
      <c r="V24" s="264"/>
      <c r="W24" s="293"/>
    </row>
    <row r="25" spans="1:25" x14ac:dyDescent="0.25">
      <c r="A25" s="122"/>
      <c r="B25" s="164" t="s">
        <v>735</v>
      </c>
      <c r="C25" s="298"/>
      <c r="D25" s="252"/>
      <c r="F25" s="252"/>
      <c r="G25" s="252"/>
      <c r="H25" s="287" t="s">
        <v>736</v>
      </c>
      <c r="I25" s="292" t="s">
        <v>737</v>
      </c>
      <c r="J25" s="164" t="s">
        <v>738</v>
      </c>
      <c r="K25" s="241" t="s">
        <v>739</v>
      </c>
      <c r="L25" s="277"/>
      <c r="M25" s="164" t="s">
        <v>740</v>
      </c>
      <c r="N25" s="290"/>
      <c r="O25" s="524" t="s">
        <v>741</v>
      </c>
      <c r="P25" s="531" t="s">
        <v>742</v>
      </c>
      <c r="Q25" s="528" t="s">
        <v>743</v>
      </c>
      <c r="R25" s="294"/>
      <c r="S25" s="294"/>
      <c r="T25" s="294"/>
      <c r="U25" s="294"/>
      <c r="V25" s="264"/>
      <c r="W25" s="293"/>
    </row>
    <row r="26" spans="1:25" x14ac:dyDescent="0.25">
      <c r="A26" s="122"/>
      <c r="B26" s="501" t="s">
        <v>744</v>
      </c>
      <c r="C26" s="298"/>
      <c r="D26" s="252"/>
      <c r="E26" s="279"/>
      <c r="F26" s="252"/>
      <c r="G26" s="252"/>
      <c r="H26" s="287" t="s">
        <v>729</v>
      </c>
      <c r="I26" s="292" t="s">
        <v>745</v>
      </c>
      <c r="J26" s="247" t="s">
        <v>746</v>
      </c>
      <c r="K26" s="461" t="s">
        <v>747</v>
      </c>
      <c r="L26" s="252"/>
      <c r="M26" s="164" t="s">
        <v>748</v>
      </c>
      <c r="N26" s="290"/>
      <c r="O26" s="530" t="s">
        <v>749</v>
      </c>
      <c r="P26" s="290"/>
      <c r="Q26" s="301" t="s">
        <v>750</v>
      </c>
      <c r="R26" s="294"/>
      <c r="S26" s="294"/>
      <c r="U26" s="294"/>
      <c r="V26" s="264"/>
      <c r="W26" s="283"/>
      <c r="Y26" s="151" t="s">
        <v>751</v>
      </c>
    </row>
    <row r="27" spans="1:25" ht="17.25" customHeight="1" x14ac:dyDescent="0.25">
      <c r="A27" s="122"/>
      <c r="B27" s="298"/>
      <c r="D27" s="252"/>
      <c r="E27" s="279"/>
      <c r="G27" s="252"/>
      <c r="H27" s="252"/>
      <c r="I27" s="465" t="s">
        <v>752</v>
      </c>
      <c r="J27" s="464" t="s">
        <v>753</v>
      </c>
      <c r="K27" s="164" t="s">
        <v>754</v>
      </c>
      <c r="L27" s="252"/>
      <c r="M27" s="164" t="s">
        <v>755</v>
      </c>
      <c r="N27" s="290"/>
      <c r="O27" s="290"/>
      <c r="P27" s="290"/>
      <c r="Q27" s="428" t="s">
        <v>756</v>
      </c>
      <c r="R27" s="290"/>
      <c r="S27" s="290"/>
      <c r="T27" s="290"/>
      <c r="U27" s="290"/>
      <c r="V27" s="264"/>
      <c r="W27" s="297"/>
    </row>
    <row r="28" spans="1:25" x14ac:dyDescent="0.25">
      <c r="A28" s="122"/>
      <c r="B28" s="298"/>
      <c r="C28" s="298"/>
      <c r="D28" s="298"/>
      <c r="E28" s="279"/>
      <c r="F28" s="252"/>
      <c r="G28" s="252"/>
      <c r="H28" s="252"/>
      <c r="I28" s="465" t="s">
        <v>757</v>
      </c>
      <c r="J28" s="462" t="s">
        <v>758</v>
      </c>
      <c r="K28" s="164" t="s">
        <v>759</v>
      </c>
      <c r="L28" s="252"/>
      <c r="M28" s="164" t="s">
        <v>760</v>
      </c>
      <c r="N28" s="290"/>
      <c r="O28" s="290"/>
      <c r="P28" s="290"/>
      <c r="Q28" s="290"/>
      <c r="R28" s="290"/>
      <c r="S28" s="290"/>
      <c r="T28" s="290"/>
      <c r="U28" s="290"/>
      <c r="V28" s="264"/>
      <c r="W28" s="290"/>
    </row>
    <row r="29" spans="1:25" ht="17.25" customHeight="1" x14ac:dyDescent="0.25">
      <c r="A29" s="122"/>
      <c r="B29" s="298"/>
      <c r="C29" s="298"/>
      <c r="D29" s="298"/>
      <c r="E29" s="279"/>
      <c r="F29" s="279"/>
      <c r="G29" s="279"/>
      <c r="H29" s="279"/>
      <c r="I29" s="440" t="s">
        <v>738</v>
      </c>
      <c r="K29" s="164" t="s">
        <v>761</v>
      </c>
      <c r="L29" s="252"/>
      <c r="M29" s="164" t="s">
        <v>762</v>
      </c>
      <c r="N29" s="290"/>
      <c r="O29" s="290"/>
      <c r="P29" s="290"/>
      <c r="Q29" s="290"/>
      <c r="R29" s="290"/>
      <c r="S29" s="290"/>
      <c r="T29" s="290"/>
      <c r="U29" s="290"/>
      <c r="V29" s="264"/>
      <c r="W29" s="290"/>
    </row>
    <row r="30" spans="1:25" x14ac:dyDescent="0.25">
      <c r="A30" s="122"/>
      <c r="B30" s="298"/>
      <c r="C30" s="300"/>
      <c r="D30" s="298"/>
      <c r="E30" s="252"/>
      <c r="F30" s="252"/>
      <c r="G30" s="252"/>
      <c r="H30" s="252"/>
      <c r="I30" s="438" t="s">
        <v>763</v>
      </c>
      <c r="K30" s="164" t="s">
        <v>764</v>
      </c>
      <c r="L30" s="252"/>
      <c r="M30" s="164" t="s">
        <v>765</v>
      </c>
      <c r="N30" s="290"/>
      <c r="O30" s="290"/>
      <c r="Q30" s="290"/>
      <c r="R30" s="290"/>
      <c r="S30" s="290"/>
      <c r="T30" s="290"/>
      <c r="U30" s="290"/>
      <c r="V30" s="264"/>
      <c r="W30" s="290"/>
    </row>
    <row r="31" spans="1:25" x14ac:dyDescent="0.25">
      <c r="A31" s="122"/>
      <c r="B31" s="298"/>
      <c r="C31" s="290"/>
      <c r="D31" s="290"/>
      <c r="E31" s="298"/>
      <c r="F31" s="254"/>
      <c r="G31" s="254"/>
      <c r="H31" s="254"/>
      <c r="J31" s="254"/>
      <c r="K31" s="501" t="s">
        <v>766</v>
      </c>
      <c r="L31" s="252"/>
      <c r="M31" s="164" t="s">
        <v>767</v>
      </c>
      <c r="N31" s="290"/>
      <c r="O31" s="290"/>
      <c r="P31" s="294"/>
      <c r="Q31" s="290"/>
      <c r="R31" s="290"/>
      <c r="S31" s="290"/>
      <c r="T31" s="290"/>
      <c r="U31" s="290"/>
      <c r="V31" s="264"/>
      <c r="W31" s="290"/>
    </row>
    <row r="32" spans="1:25" ht="31.5" customHeight="1" x14ac:dyDescent="0.25">
      <c r="A32" s="122"/>
      <c r="B32" s="298"/>
      <c r="C32" s="290"/>
      <c r="D32" s="290"/>
      <c r="E32" s="298"/>
      <c r="F32" s="254"/>
      <c r="G32" s="254"/>
      <c r="H32" s="254"/>
      <c r="I32" s="254"/>
      <c r="L32" s="252"/>
      <c r="M32" s="164" t="s">
        <v>171</v>
      </c>
      <c r="N32" s="290"/>
      <c r="P32" s="294"/>
      <c r="Q32" s="290"/>
      <c r="R32" s="290"/>
      <c r="S32" s="290"/>
      <c r="T32" s="290"/>
      <c r="U32" s="290"/>
      <c r="V32" s="298"/>
      <c r="W32" s="290"/>
    </row>
    <row r="33" spans="1:22" x14ac:dyDescent="0.25">
      <c r="A33" s="122"/>
      <c r="B33" s="298"/>
      <c r="C33" s="290"/>
      <c r="D33" s="290"/>
      <c r="E33" s="298"/>
      <c r="F33" s="254"/>
      <c r="G33" s="254"/>
      <c r="H33" s="254"/>
      <c r="I33" s="298"/>
      <c r="J33" s="290"/>
      <c r="L33" s="252"/>
      <c r="M33" s="164" t="s">
        <v>768</v>
      </c>
      <c r="N33" s="290"/>
      <c r="O33" s="290"/>
      <c r="P33" s="290"/>
      <c r="Q33" s="290"/>
      <c r="R33" s="290"/>
      <c r="S33" s="290"/>
      <c r="T33" s="290"/>
      <c r="U33" s="290"/>
      <c r="V33" s="298"/>
    </row>
    <row r="34" spans="1:22" ht="27.75" customHeight="1" x14ac:dyDescent="0.25">
      <c r="A34" s="122"/>
      <c r="B34" s="298"/>
      <c r="C34" s="290"/>
      <c r="D34" s="290"/>
      <c r="E34" s="254"/>
      <c r="F34" s="254"/>
      <c r="G34" s="254"/>
      <c r="H34" s="254"/>
      <c r="I34" s="298"/>
      <c r="J34" s="290"/>
      <c r="K34" s="298"/>
      <c r="L34" s="252"/>
      <c r="M34" s="164" t="s">
        <v>769</v>
      </c>
      <c r="N34" s="290"/>
      <c r="O34" s="290"/>
      <c r="P34" s="290"/>
      <c r="Q34" s="290"/>
      <c r="R34" s="290"/>
      <c r="S34" s="290"/>
      <c r="T34" s="290"/>
      <c r="U34" s="290"/>
      <c r="V34" s="298"/>
    </row>
    <row r="35" spans="1:22" x14ac:dyDescent="0.25">
      <c r="A35" s="122"/>
      <c r="B35" s="298"/>
      <c r="C35" s="298"/>
      <c r="D35" s="298"/>
      <c r="E35" s="254"/>
      <c r="F35" s="254"/>
      <c r="G35" s="254"/>
      <c r="H35" s="254"/>
      <c r="I35" s="298"/>
      <c r="J35" s="290"/>
      <c r="K35" s="298"/>
      <c r="L35" s="252"/>
      <c r="M35" s="164" t="s">
        <v>770</v>
      </c>
      <c r="N35" s="252"/>
      <c r="O35" s="252"/>
      <c r="P35" s="290"/>
      <c r="Q35" s="290"/>
      <c r="R35" s="290"/>
      <c r="S35" s="290"/>
      <c r="T35" s="290"/>
      <c r="U35" s="290"/>
      <c r="V35" s="298"/>
    </row>
    <row r="36" spans="1:22" x14ac:dyDescent="0.25">
      <c r="A36" s="122"/>
      <c r="B36" s="298"/>
      <c r="C36" s="298"/>
      <c r="D36" s="298"/>
      <c r="E36" s="254"/>
      <c r="F36" s="254"/>
      <c r="G36" s="254"/>
      <c r="H36" s="254"/>
      <c r="I36" s="254"/>
      <c r="K36" s="298"/>
      <c r="L36" s="252"/>
      <c r="M36" s="164" t="s">
        <v>771</v>
      </c>
      <c r="N36" s="252"/>
      <c r="O36" s="252"/>
      <c r="P36" s="290"/>
      <c r="Q36" s="290"/>
      <c r="R36" s="290"/>
      <c r="S36" s="290"/>
      <c r="T36" s="290"/>
      <c r="U36" s="290"/>
      <c r="V36" s="298"/>
    </row>
    <row r="37" spans="1:22" x14ac:dyDescent="0.25">
      <c r="A37" s="122"/>
      <c r="B37" s="298"/>
      <c r="C37" s="298"/>
      <c r="D37" s="298"/>
      <c r="F37" s="254"/>
      <c r="G37" s="254"/>
      <c r="H37" s="254"/>
      <c r="I37" s="254"/>
      <c r="J37" s="159"/>
      <c r="K37" s="298"/>
      <c r="L37" s="252"/>
      <c r="M37" s="164" t="s">
        <v>772</v>
      </c>
      <c r="N37" s="252"/>
      <c r="O37" s="252"/>
      <c r="P37" s="290"/>
      <c r="Q37" s="290"/>
      <c r="R37" s="252"/>
      <c r="S37" s="252"/>
      <c r="T37" s="252"/>
      <c r="U37" s="252"/>
      <c r="V37" s="298"/>
    </row>
    <row r="38" spans="1:22" x14ac:dyDescent="0.25">
      <c r="A38" s="122"/>
      <c r="B38" s="298"/>
      <c r="C38" s="298"/>
      <c r="D38" s="298"/>
      <c r="E38" s="298"/>
      <c r="F38" s="298"/>
      <c r="G38" s="298"/>
      <c r="H38" s="298"/>
      <c r="I38" s="298"/>
      <c r="J38" s="159"/>
      <c r="K38" s="298"/>
      <c r="L38" s="252"/>
      <c r="M38" s="122"/>
      <c r="N38" s="252"/>
      <c r="O38" s="252"/>
      <c r="P38" s="252"/>
      <c r="Q38" s="252"/>
      <c r="R38" s="252"/>
      <c r="S38" s="252"/>
      <c r="T38" s="252"/>
      <c r="U38" s="252"/>
      <c r="V38" s="298"/>
    </row>
    <row r="39" spans="1:22" x14ac:dyDescent="0.25">
      <c r="A39" s="122"/>
      <c r="B39" s="298"/>
      <c r="C39" s="298"/>
      <c r="D39" s="298"/>
      <c r="E39" s="298"/>
      <c r="F39" s="298"/>
      <c r="G39" s="298"/>
      <c r="H39" s="298"/>
      <c r="I39" s="298"/>
      <c r="J39" s="159"/>
      <c r="K39" s="298"/>
      <c r="L39" s="252"/>
      <c r="M39" s="122"/>
      <c r="N39" s="252"/>
      <c r="O39" s="252"/>
      <c r="P39" s="252"/>
      <c r="Q39" s="252"/>
      <c r="R39" s="252"/>
      <c r="S39" s="252"/>
      <c r="T39" s="252"/>
      <c r="U39" s="252"/>
      <c r="V39" s="298"/>
    </row>
    <row r="40" spans="1:22" x14ac:dyDescent="0.25">
      <c r="A40" s="122"/>
      <c r="B40" s="298"/>
      <c r="C40" s="302"/>
      <c r="D40" s="302"/>
      <c r="E40" s="300"/>
      <c r="F40" s="298"/>
      <c r="G40" s="298"/>
      <c r="H40" s="298"/>
      <c r="I40" s="298"/>
      <c r="J40" s="159"/>
      <c r="K40" s="298"/>
      <c r="L40" s="298"/>
      <c r="M40" s="122"/>
      <c r="N40" s="252"/>
      <c r="O40" s="252"/>
      <c r="P40" s="252"/>
      <c r="Q40" s="252"/>
      <c r="R40" s="252"/>
      <c r="S40" s="252"/>
      <c r="T40" s="252"/>
      <c r="U40" s="252"/>
      <c r="V40" s="302"/>
    </row>
    <row r="41" spans="1:22" x14ac:dyDescent="0.25">
      <c r="A41" s="122"/>
      <c r="B41" s="122"/>
      <c r="C41" s="122"/>
      <c r="D41" s="122"/>
      <c r="E41" s="303"/>
      <c r="F41" s="159"/>
      <c r="G41" s="159"/>
      <c r="H41" s="159"/>
      <c r="I41" s="159"/>
      <c r="J41" s="124"/>
      <c r="K41" s="159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</row>
    <row r="42" spans="1:22" x14ac:dyDescent="0.25">
      <c r="A42" s="122"/>
      <c r="B42" s="122"/>
      <c r="C42" s="122"/>
      <c r="D42" s="122"/>
      <c r="E42" s="303"/>
      <c r="F42" s="159"/>
      <c r="G42" s="159"/>
      <c r="H42" s="159"/>
      <c r="I42" s="159"/>
      <c r="J42" s="122"/>
      <c r="K42" s="159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</row>
    <row r="43" spans="1:22" x14ac:dyDescent="0.25">
      <c r="A43" s="122"/>
      <c r="B43" s="122"/>
      <c r="C43" s="122"/>
      <c r="D43" s="122"/>
      <c r="E43" s="303"/>
      <c r="F43" s="159"/>
      <c r="G43" s="159"/>
      <c r="H43" s="159"/>
      <c r="I43" s="159"/>
      <c r="J43" s="122"/>
      <c r="K43" s="159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</row>
    <row r="44" spans="1:22" x14ac:dyDescent="0.25">
      <c r="A44" s="122"/>
      <c r="B44" s="122"/>
      <c r="C44" s="122"/>
      <c r="D44" s="122"/>
      <c r="E44" s="303"/>
      <c r="F44" s="159"/>
      <c r="G44" s="159"/>
      <c r="H44" s="159"/>
      <c r="I44" s="159"/>
      <c r="J44" s="122"/>
      <c r="K44" s="159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</row>
    <row r="45" spans="1:22" x14ac:dyDescent="0.25">
      <c r="A45" s="122"/>
      <c r="B45" s="122"/>
      <c r="C45" s="122"/>
      <c r="D45" s="122"/>
      <c r="E45" s="123"/>
      <c r="F45" s="124"/>
      <c r="G45" s="124"/>
      <c r="H45" s="124"/>
      <c r="I45" s="124"/>
      <c r="J45" s="122"/>
      <c r="K45" s="124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3"/>
    </row>
    <row r="46" spans="1:22" ht="20.25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8">
        <f>COUNTA(J8:J9,J12:J14)</f>
        <v>5</v>
      </c>
      <c r="K46" s="122"/>
      <c r="L46" s="127"/>
      <c r="M46" s="122"/>
      <c r="N46" s="122"/>
      <c r="O46" s="122"/>
      <c r="P46" s="122"/>
      <c r="Q46" s="122"/>
      <c r="R46" s="122"/>
      <c r="S46" s="122"/>
      <c r="T46" s="122"/>
      <c r="U46" s="122"/>
      <c r="V46" s="122"/>
    </row>
    <row r="47" spans="1:22" ht="20.25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8">
        <f>COUNTA(J16:J18)</f>
        <v>3</v>
      </c>
      <c r="K47" s="122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2"/>
    </row>
    <row r="48" spans="1:22" ht="20.25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9">
        <f>COUNTA(J11,J21:J22)</f>
        <v>3</v>
      </c>
      <c r="K48" s="122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2"/>
    </row>
    <row r="49" spans="1:22" ht="20.25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9">
        <f>COUNTA(J23:J32)</f>
        <v>6</v>
      </c>
      <c r="K49" s="122"/>
      <c r="L49" s="122"/>
      <c r="M49" s="127"/>
      <c r="N49" s="127"/>
      <c r="O49" s="127"/>
      <c r="P49" s="127"/>
      <c r="Q49" s="127"/>
      <c r="R49" s="127"/>
      <c r="S49" s="127"/>
      <c r="T49" s="127"/>
      <c r="U49" s="127"/>
      <c r="V49" s="122"/>
    </row>
    <row r="50" spans="1:22" ht="21.75" customHeight="1" x14ac:dyDescent="0.2">
      <c r="A50" s="130" t="s">
        <v>536</v>
      </c>
      <c r="B50" s="128">
        <f>COUNTA(B8:B9)</f>
        <v>2</v>
      </c>
      <c r="C50" s="128">
        <f>COUNTA(C8:C9,C13:C13)</f>
        <v>3</v>
      </c>
      <c r="D50" s="128"/>
      <c r="E50" s="128">
        <f>COUNTA(E8,E14:E15,E19:E20)</f>
        <v>4</v>
      </c>
      <c r="F50" s="128">
        <f>COUNTA(F8,F10)</f>
        <v>2</v>
      </c>
      <c r="G50" s="128">
        <f>COUNTA(G8,G10:G10)</f>
        <v>2</v>
      </c>
      <c r="H50" s="128"/>
      <c r="I50" s="128">
        <f>COUNTA(I8:I9,I13:I13)</f>
        <v>3</v>
      </c>
      <c r="J50" s="126">
        <f t="shared" ref="E50:L54" si="0">SUM(J46:J49)</f>
        <v>17</v>
      </c>
      <c r="K50" s="130">
        <f>COUNTA(K8:K9,K13:K14)</f>
        <v>4</v>
      </c>
      <c r="L50" s="128">
        <f>COUNTA(L8)</f>
        <v>1</v>
      </c>
      <c r="M50" s="304">
        <f>COUNTA(M8:M9,M13:M20)</f>
        <v>10</v>
      </c>
      <c r="N50" s="304">
        <f>COUNTA(N8,N12)</f>
        <v>2</v>
      </c>
      <c r="O50" s="304">
        <f>COUNTA(O8:O9,O13:O14)</f>
        <v>3</v>
      </c>
      <c r="P50" s="304">
        <f>COUNTA(P8:P10,P14:P15)</f>
        <v>5</v>
      </c>
      <c r="Q50" s="304">
        <f>COUNTA(Q8:Q10,Q14:Q17)</f>
        <v>7</v>
      </c>
      <c r="R50" s="304">
        <f>COUNTA(R8,R10:R13)</f>
        <v>5</v>
      </c>
      <c r="S50" s="304">
        <f>COUNTA(S8,S10:S14)</f>
        <v>6</v>
      </c>
      <c r="T50" s="304">
        <f>COUNTA(T8:T9)</f>
        <v>2</v>
      </c>
      <c r="U50" s="304"/>
      <c r="V50" s="123"/>
    </row>
    <row r="51" spans="1:22" ht="21.75" customHeight="1" x14ac:dyDescent="0.25">
      <c r="A51" s="130" t="s">
        <v>537</v>
      </c>
      <c r="B51" s="128">
        <f>COUNTA(B13:B17)</f>
        <v>5</v>
      </c>
      <c r="C51" s="128">
        <f>COUNTA(C14:C17)</f>
        <v>4</v>
      </c>
      <c r="D51" s="128"/>
      <c r="E51" s="128">
        <f>COUNTA(E15:E18)</f>
        <v>4</v>
      </c>
      <c r="F51" s="128">
        <f>COUNTA(F11:F12)</f>
        <v>1</v>
      </c>
      <c r="G51" s="128">
        <f>COUNTA(G11:G13)</f>
        <v>2</v>
      </c>
      <c r="H51" s="128"/>
      <c r="I51" s="128">
        <f>COUNTA(I14:I22,I14:I15)</f>
        <v>11</v>
      </c>
      <c r="J51" s="13"/>
      <c r="K51" s="130">
        <f>COUNTA(K19:K24)</f>
        <v>6</v>
      </c>
      <c r="L51" s="128">
        <f>COUNTA(L9)</f>
        <v>0</v>
      </c>
      <c r="M51" s="304">
        <f>COUNTA(M21:M24)</f>
        <v>4</v>
      </c>
      <c r="N51" s="304">
        <f>COUNTA(#REF!)</f>
        <v>1</v>
      </c>
      <c r="O51" s="304">
        <f>COUNTA(O15:O20)</f>
        <v>6</v>
      </c>
      <c r="P51" s="304">
        <f>COUNTA(#REF!)</f>
        <v>1</v>
      </c>
      <c r="Q51" s="304">
        <f>COUNTA(Q18:Q21)</f>
        <v>4</v>
      </c>
      <c r="R51" s="304">
        <f>COUNTA(R15)</f>
        <v>0</v>
      </c>
      <c r="S51" s="304">
        <f>COUNTA(S19:S23)</f>
        <v>0</v>
      </c>
      <c r="T51" s="304"/>
      <c r="U51" s="304"/>
      <c r="V51" s="123"/>
    </row>
    <row r="52" spans="1:22" ht="21.75" customHeight="1" x14ac:dyDescent="0.25">
      <c r="A52" s="131" t="s">
        <v>538</v>
      </c>
      <c r="B52" s="129">
        <f>COUNTA(B11,B19)</f>
        <v>2</v>
      </c>
      <c r="C52" s="129">
        <f>COUNTA(C11,C19:C20)</f>
        <v>3</v>
      </c>
      <c r="D52" s="129"/>
      <c r="E52" s="129">
        <f>COUNTA(E22,E12)</f>
        <v>2</v>
      </c>
      <c r="F52" s="129"/>
      <c r="G52" s="129"/>
      <c r="H52" s="129"/>
      <c r="I52" s="129">
        <f>COUNTA(I11,I26:I27)</f>
        <v>3</v>
      </c>
      <c r="J52" s="13"/>
      <c r="K52" s="131">
        <f>COUNTA(K11,K26:K27)</f>
        <v>3</v>
      </c>
      <c r="L52" s="129"/>
      <c r="M52" s="129">
        <f>COUNTA(M10,M26:M28)</f>
        <v>4</v>
      </c>
      <c r="N52" s="129">
        <f>COUNTA(N10,N14)</f>
        <v>2</v>
      </c>
      <c r="O52" s="129">
        <f>COUNTA(O11,O23)</f>
        <v>2</v>
      </c>
      <c r="P52" s="129">
        <f>COUNTA(P12,P18:P19)</f>
        <v>3</v>
      </c>
      <c r="Q52" s="129">
        <f>COUNTA(Q12,Q23:Q24)</f>
        <v>3</v>
      </c>
      <c r="R52" s="129"/>
      <c r="S52" s="129"/>
      <c r="T52" s="129"/>
      <c r="U52" s="129">
        <f>COUNTA(#REF!)</f>
        <v>1</v>
      </c>
    </row>
    <row r="53" spans="1:22" ht="21.75" customHeight="1" x14ac:dyDescent="0.2">
      <c r="A53" s="131" t="s">
        <v>539</v>
      </c>
      <c r="B53" s="129">
        <f>COUNTA(B20:B25)</f>
        <v>6</v>
      </c>
      <c r="C53" s="129">
        <f>COUNTA(C21:C24)</f>
        <v>4</v>
      </c>
      <c r="D53" s="129"/>
      <c r="E53" s="129">
        <f>COUNTA(E23:E30)</f>
        <v>2</v>
      </c>
      <c r="F53" s="129"/>
      <c r="G53" s="129"/>
      <c r="H53" s="129"/>
      <c r="I53" s="129">
        <f>COUNTA(I28:I32)</f>
        <v>3</v>
      </c>
      <c r="K53" s="131">
        <f>COUNTA(K28:K38)</f>
        <v>4</v>
      </c>
      <c r="L53" s="129"/>
      <c r="M53" s="129">
        <f>COUNTA(M29:M45)</f>
        <v>9</v>
      </c>
      <c r="N53" s="129">
        <f>COUNTA(N19:N20)</f>
        <v>0</v>
      </c>
      <c r="O53" s="129">
        <f>COUNTA(O24:O30)</f>
        <v>3</v>
      </c>
      <c r="P53" s="129">
        <f>COUNTA(P20:P28)</f>
        <v>6</v>
      </c>
      <c r="Q53" s="129">
        <f>COUNTA(Q25:Q35)</f>
        <v>3</v>
      </c>
      <c r="R53" s="129"/>
      <c r="S53" s="129"/>
      <c r="T53" s="129"/>
      <c r="U53" s="129">
        <f>COUNTA(U8:U22)</f>
        <v>10</v>
      </c>
    </row>
    <row r="54" spans="1:22" s="121" customFormat="1" ht="21.75" customHeight="1" x14ac:dyDescent="0.3">
      <c r="A54" s="132" t="s">
        <v>540</v>
      </c>
      <c r="B54" s="126">
        <f>SUM(B50:B53)</f>
        <v>15</v>
      </c>
      <c r="C54" s="126">
        <f t="shared" ref="C54:U54" si="1">SUM(C50:C53)</f>
        <v>14</v>
      </c>
      <c r="D54" s="126"/>
      <c r="E54" s="126">
        <f t="shared" si="0"/>
        <v>12</v>
      </c>
      <c r="F54" s="126">
        <f t="shared" si="0"/>
        <v>3</v>
      </c>
      <c r="G54" s="126">
        <f t="shared" si="0"/>
        <v>4</v>
      </c>
      <c r="H54" s="126"/>
      <c r="I54" s="126">
        <f t="shared" si="0"/>
        <v>20</v>
      </c>
      <c r="J54"/>
      <c r="K54" s="126">
        <f t="shared" si="0"/>
        <v>17</v>
      </c>
      <c r="L54" s="126">
        <f t="shared" si="0"/>
        <v>1</v>
      </c>
      <c r="M54" s="126">
        <f t="shared" si="1"/>
        <v>27</v>
      </c>
      <c r="N54" s="126">
        <f t="shared" si="1"/>
        <v>5</v>
      </c>
      <c r="O54" s="126">
        <f t="shared" si="1"/>
        <v>14</v>
      </c>
      <c r="P54" s="126">
        <f t="shared" si="1"/>
        <v>15</v>
      </c>
      <c r="Q54" s="126">
        <f t="shared" si="1"/>
        <v>17</v>
      </c>
      <c r="R54" s="126">
        <f t="shared" si="1"/>
        <v>5</v>
      </c>
      <c r="S54" s="126">
        <f t="shared" si="1"/>
        <v>6</v>
      </c>
      <c r="T54" s="126">
        <f t="shared" si="1"/>
        <v>2</v>
      </c>
      <c r="U54" s="126">
        <f t="shared" si="1"/>
        <v>11</v>
      </c>
      <c r="V54" s="126">
        <v>255</v>
      </c>
    </row>
  </sheetData>
  <conditionalFormatting sqref="A5:AI5">
    <cfRule type="notContainsBlanks" dxfId="36" priority="1">
      <formula>LEN(TRIM(A5))&gt;0</formula>
    </cfRule>
  </conditionalFormatting>
  <printOptions horizontalCentered="1"/>
  <pageMargins left="0.7" right="0.7" top="0.75" bottom="0.75" header="0" footer="0"/>
  <pageSetup paperSize="3" scale="92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2FF5-FD2C-4D15-B1C8-9998D4E394E3}">
  <dimension ref="A1:F5"/>
  <sheetViews>
    <sheetView workbookViewId="0">
      <selection activeCell="G14" sqref="G14"/>
    </sheetView>
  </sheetViews>
  <sheetFormatPr defaultColWidth="8.85546875" defaultRowHeight="12.75" x14ac:dyDescent="0.2"/>
  <cols>
    <col min="1" max="1" width="19.7109375" bestFit="1" customWidth="1"/>
    <col min="2" max="3" width="12.28515625" bestFit="1" customWidth="1"/>
  </cols>
  <sheetData>
    <row r="1" spans="1:6" x14ac:dyDescent="0.2">
      <c r="C1" t="s">
        <v>773</v>
      </c>
      <c r="D1" t="s">
        <v>774</v>
      </c>
      <c r="E1" t="s">
        <v>775</v>
      </c>
    </row>
    <row r="2" spans="1:6" x14ac:dyDescent="0.2">
      <c r="A2" t="s">
        <v>776</v>
      </c>
      <c r="B2" s="497">
        <v>140000</v>
      </c>
      <c r="C2" s="497">
        <f>B2*1.2</f>
        <v>168000</v>
      </c>
      <c r="D2" s="497">
        <f>C2/12</f>
        <v>14000</v>
      </c>
      <c r="E2" s="498">
        <f>3*D2</f>
        <v>42000</v>
      </c>
    </row>
    <row r="3" spans="1:6" x14ac:dyDescent="0.2">
      <c r="C3" t="s">
        <v>777</v>
      </c>
      <c r="D3" t="s">
        <v>778</v>
      </c>
      <c r="E3" t="s">
        <v>779</v>
      </c>
      <c r="F3" t="s">
        <v>780</v>
      </c>
    </row>
    <row r="4" spans="1:6" x14ac:dyDescent="0.2">
      <c r="A4" t="s">
        <v>781</v>
      </c>
      <c r="C4">
        <v>15000</v>
      </c>
      <c r="D4">
        <v>25000</v>
      </c>
      <c r="E4">
        <v>25000</v>
      </c>
      <c r="F4">
        <v>25000</v>
      </c>
    </row>
    <row r="5" spans="1:6" x14ac:dyDescent="0.2">
      <c r="A5" t="s">
        <v>782</v>
      </c>
      <c r="C5" s="498">
        <f>$E$2-C4</f>
        <v>27000</v>
      </c>
      <c r="D5" s="498">
        <f t="shared" ref="D5:F5" si="0">$E$2-D4</f>
        <v>17000</v>
      </c>
      <c r="E5" s="498">
        <f t="shared" si="0"/>
        <v>17000</v>
      </c>
      <c r="F5" s="498">
        <f t="shared" si="0"/>
        <v>17000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CBE2-FE2E-47D3-AA28-0EA68053C56F}">
  <dimension ref="A1:I97"/>
  <sheetViews>
    <sheetView workbookViewId="0">
      <pane ySplit="1" topLeftCell="A2" activePane="bottomLeft" state="frozen"/>
      <selection pane="bottomLeft" activeCell="E1" sqref="E1"/>
    </sheetView>
  </sheetViews>
  <sheetFormatPr defaultColWidth="8.85546875" defaultRowHeight="15.75" customHeight="1" x14ac:dyDescent="0.2"/>
  <cols>
    <col min="1" max="1" width="33.140625" customWidth="1"/>
    <col min="2" max="2" width="36.28515625" style="75" customWidth="1"/>
    <col min="3" max="3" width="22" style="58" customWidth="1"/>
    <col min="4" max="4" width="24.140625" style="58" customWidth="1"/>
    <col min="5" max="6" width="17.85546875" style="58" customWidth="1"/>
    <col min="7" max="7" width="27.7109375" style="366" customWidth="1"/>
    <col min="8" max="8" width="31.140625" style="75" customWidth="1"/>
    <col min="9" max="9" width="22.85546875" style="59" customWidth="1"/>
  </cols>
  <sheetData>
    <row r="1" spans="1:9" s="58" customFormat="1" ht="23.25" customHeight="1" x14ac:dyDescent="0.2">
      <c r="A1" s="109" t="s">
        <v>783</v>
      </c>
      <c r="B1" s="110" t="s">
        <v>784</v>
      </c>
      <c r="C1" s="110" t="s">
        <v>785</v>
      </c>
      <c r="D1" s="110" t="s">
        <v>786</v>
      </c>
      <c r="E1" s="110" t="s">
        <v>787</v>
      </c>
      <c r="F1" s="110" t="s">
        <v>788</v>
      </c>
      <c r="G1" s="362" t="s">
        <v>789</v>
      </c>
      <c r="H1" s="110" t="s">
        <v>790</v>
      </c>
      <c r="I1" s="81" t="s">
        <v>791</v>
      </c>
    </row>
    <row r="2" spans="1:9" ht="15.75" customHeight="1" x14ac:dyDescent="0.2">
      <c r="A2" s="380" t="s">
        <v>792</v>
      </c>
      <c r="B2" s="395" t="s">
        <v>793</v>
      </c>
      <c r="C2" s="381" t="s">
        <v>22</v>
      </c>
      <c r="D2" s="381" t="s">
        <v>794</v>
      </c>
      <c r="E2" s="382">
        <v>37762</v>
      </c>
      <c r="F2" s="382"/>
      <c r="G2" s="383" t="s">
        <v>795</v>
      </c>
      <c r="H2" s="384" t="s">
        <v>796</v>
      </c>
      <c r="I2" s="51"/>
    </row>
    <row r="3" spans="1:9" ht="15.75" customHeight="1" x14ac:dyDescent="0.2">
      <c r="A3" s="367" t="s">
        <v>797</v>
      </c>
      <c r="B3" s="392" t="s">
        <v>798</v>
      </c>
      <c r="C3" s="368" t="s">
        <v>21</v>
      </c>
      <c r="D3" s="368" t="s">
        <v>799</v>
      </c>
      <c r="E3" s="369">
        <v>40021</v>
      </c>
      <c r="F3" s="369"/>
      <c r="G3" s="466" t="s">
        <v>800</v>
      </c>
      <c r="H3" s="370" t="s">
        <v>801</v>
      </c>
      <c r="I3" s="51">
        <v>415</v>
      </c>
    </row>
    <row r="4" spans="1:9" ht="15.75" customHeight="1" x14ac:dyDescent="0.2">
      <c r="A4" s="367" t="s">
        <v>802</v>
      </c>
      <c r="B4" s="392" t="s">
        <v>803</v>
      </c>
      <c r="C4" s="368" t="s">
        <v>804</v>
      </c>
      <c r="D4" s="368" t="s">
        <v>805</v>
      </c>
      <c r="E4" s="369">
        <v>41380</v>
      </c>
      <c r="F4" s="369"/>
      <c r="G4" s="466" t="s">
        <v>800</v>
      </c>
      <c r="H4" s="370" t="s">
        <v>801</v>
      </c>
      <c r="I4" s="51">
        <v>415</v>
      </c>
    </row>
    <row r="5" spans="1:9" ht="15.75" customHeight="1" x14ac:dyDescent="0.2">
      <c r="A5" s="367" t="s">
        <v>806</v>
      </c>
      <c r="B5" s="392" t="s">
        <v>807</v>
      </c>
      <c r="C5" s="368" t="s">
        <v>804</v>
      </c>
      <c r="D5" s="368" t="s">
        <v>805</v>
      </c>
      <c r="E5" s="369">
        <v>42275</v>
      </c>
      <c r="F5" s="369"/>
      <c r="G5" s="466" t="s">
        <v>800</v>
      </c>
      <c r="H5" s="370" t="s">
        <v>801</v>
      </c>
      <c r="I5" s="51">
        <v>415</v>
      </c>
    </row>
    <row r="6" spans="1:9" ht="15.75" customHeight="1" x14ac:dyDescent="0.2">
      <c r="A6" s="367" t="s">
        <v>808</v>
      </c>
      <c r="B6" s="392" t="s">
        <v>809</v>
      </c>
      <c r="C6" s="368" t="s">
        <v>804</v>
      </c>
      <c r="D6" s="368" t="s">
        <v>805</v>
      </c>
      <c r="E6" s="369">
        <v>43528</v>
      </c>
      <c r="F6" s="369"/>
      <c r="G6" s="466" t="s">
        <v>800</v>
      </c>
      <c r="H6" s="370" t="s">
        <v>801</v>
      </c>
      <c r="I6" s="51">
        <v>415</v>
      </c>
    </row>
    <row r="7" spans="1:9" ht="15.75" customHeight="1" x14ac:dyDescent="0.2">
      <c r="A7" s="371" t="s">
        <v>810</v>
      </c>
      <c r="B7" s="394" t="s">
        <v>809</v>
      </c>
      <c r="C7" s="368" t="s">
        <v>804</v>
      </c>
      <c r="D7" s="368" t="s">
        <v>805</v>
      </c>
      <c r="E7" s="373">
        <v>44243</v>
      </c>
      <c r="F7" s="373"/>
      <c r="G7" s="466" t="s">
        <v>800</v>
      </c>
      <c r="H7" s="374" t="s">
        <v>801</v>
      </c>
      <c r="I7" s="51">
        <v>415</v>
      </c>
    </row>
    <row r="8" spans="1:9" s="74" customFormat="1" ht="15.75" customHeight="1" x14ac:dyDescent="0.2">
      <c r="A8" s="467" t="s">
        <v>811</v>
      </c>
      <c r="B8" s="467" t="s">
        <v>812</v>
      </c>
      <c r="C8" s="468" t="s">
        <v>30</v>
      </c>
      <c r="D8" s="468" t="s">
        <v>805</v>
      </c>
      <c r="E8" s="469">
        <v>44480</v>
      </c>
      <c r="F8" s="469"/>
      <c r="G8" s="466" t="s">
        <v>800</v>
      </c>
      <c r="H8" s="467" t="s">
        <v>801</v>
      </c>
      <c r="I8" s="355"/>
    </row>
    <row r="9" spans="1:9" ht="15.75" customHeight="1" x14ac:dyDescent="0.2">
      <c r="A9" s="380" t="s">
        <v>813</v>
      </c>
      <c r="B9" s="395" t="s">
        <v>798</v>
      </c>
      <c r="C9" s="381" t="s">
        <v>814</v>
      </c>
      <c r="D9" s="381" t="s">
        <v>815</v>
      </c>
      <c r="E9" s="382">
        <v>41579</v>
      </c>
      <c r="F9" s="382"/>
      <c r="G9" s="383">
        <v>420</v>
      </c>
      <c r="H9" s="384" t="s">
        <v>816</v>
      </c>
      <c r="I9" s="385">
        <v>420</v>
      </c>
    </row>
    <row r="10" spans="1:9" ht="15.75" customHeight="1" x14ac:dyDescent="0.2">
      <c r="A10" s="380" t="s">
        <v>817</v>
      </c>
      <c r="B10" s="395" t="s">
        <v>818</v>
      </c>
      <c r="C10" s="381" t="s">
        <v>814</v>
      </c>
      <c r="D10" s="381" t="s">
        <v>815</v>
      </c>
      <c r="E10" s="382">
        <v>42242</v>
      </c>
      <c r="F10" s="382"/>
      <c r="G10" s="383" t="s">
        <v>819</v>
      </c>
      <c r="H10" s="384" t="s">
        <v>816</v>
      </c>
      <c r="I10" s="385">
        <v>420</v>
      </c>
    </row>
    <row r="11" spans="1:9" ht="15.75" customHeight="1" x14ac:dyDescent="0.2">
      <c r="A11" s="367" t="s">
        <v>820</v>
      </c>
      <c r="B11" s="392" t="s">
        <v>793</v>
      </c>
      <c r="C11" s="368" t="s">
        <v>22</v>
      </c>
      <c r="D11" s="368" t="s">
        <v>794</v>
      </c>
      <c r="E11" s="369">
        <v>36876</v>
      </c>
      <c r="F11" s="369"/>
      <c r="G11" s="375">
        <v>421</v>
      </c>
      <c r="H11" s="370" t="s">
        <v>821</v>
      </c>
      <c r="I11" s="51">
        <v>421</v>
      </c>
    </row>
    <row r="12" spans="1:9" ht="15.75" customHeight="1" x14ac:dyDescent="0.2">
      <c r="A12" s="367" t="s">
        <v>822</v>
      </c>
      <c r="B12" s="392" t="s">
        <v>818</v>
      </c>
      <c r="C12" s="368" t="s">
        <v>503</v>
      </c>
      <c r="D12" s="368" t="s">
        <v>823</v>
      </c>
      <c r="E12" s="369">
        <v>40869</v>
      </c>
      <c r="F12" s="369"/>
      <c r="G12" s="375">
        <v>421</v>
      </c>
      <c r="H12" s="370" t="s">
        <v>821</v>
      </c>
      <c r="I12" s="51">
        <v>421</v>
      </c>
    </row>
    <row r="13" spans="1:9" ht="15.75" customHeight="1" x14ac:dyDescent="0.2">
      <c r="A13" s="367" t="s">
        <v>824</v>
      </c>
      <c r="B13" s="392" t="s">
        <v>825</v>
      </c>
      <c r="C13" s="368"/>
      <c r="D13" s="368"/>
      <c r="E13" s="369">
        <v>41015</v>
      </c>
      <c r="F13" s="369"/>
      <c r="G13" s="375">
        <v>421</v>
      </c>
      <c r="H13" s="370" t="s">
        <v>821</v>
      </c>
      <c r="I13" s="51">
        <v>421</v>
      </c>
    </row>
    <row r="14" spans="1:9" ht="15.75" customHeight="1" x14ac:dyDescent="0.2">
      <c r="A14" s="367" t="s">
        <v>826</v>
      </c>
      <c r="B14" s="392" t="s">
        <v>818</v>
      </c>
      <c r="C14" s="368" t="s">
        <v>503</v>
      </c>
      <c r="D14" s="368"/>
      <c r="E14" s="369">
        <v>41015</v>
      </c>
      <c r="F14" s="369"/>
      <c r="G14" s="375">
        <v>421</v>
      </c>
      <c r="H14" s="370" t="s">
        <v>821</v>
      </c>
      <c r="I14" s="51">
        <v>421</v>
      </c>
    </row>
    <row r="15" spans="1:9" ht="15.75" customHeight="1" x14ac:dyDescent="0.2">
      <c r="A15" s="367" t="s">
        <v>827</v>
      </c>
      <c r="B15" s="392" t="s">
        <v>828</v>
      </c>
      <c r="C15" s="368"/>
      <c r="D15" s="368"/>
      <c r="E15" s="369">
        <v>41176</v>
      </c>
      <c r="F15" s="369"/>
      <c r="G15" s="375">
        <v>421</v>
      </c>
      <c r="H15" s="370" t="s">
        <v>821</v>
      </c>
      <c r="I15" s="51">
        <v>421</v>
      </c>
    </row>
    <row r="16" spans="1:9" ht="15.75" customHeight="1" x14ac:dyDescent="0.2">
      <c r="A16" s="367" t="s">
        <v>829</v>
      </c>
      <c r="B16" s="392" t="s">
        <v>830</v>
      </c>
      <c r="C16" s="368"/>
      <c r="D16" s="368"/>
      <c r="E16" s="369">
        <v>42499</v>
      </c>
      <c r="F16" s="369"/>
      <c r="G16" s="375">
        <v>421</v>
      </c>
      <c r="H16" s="370" t="s">
        <v>821</v>
      </c>
      <c r="I16" s="51">
        <v>421</v>
      </c>
    </row>
    <row r="17" spans="1:9" ht="15.75" customHeight="1" x14ac:dyDescent="0.2">
      <c r="A17" s="367" t="s">
        <v>831</v>
      </c>
      <c r="B17" s="392" t="s">
        <v>832</v>
      </c>
      <c r="C17" s="368"/>
      <c r="D17" s="368"/>
      <c r="E17" s="369">
        <v>42767</v>
      </c>
      <c r="F17" s="369"/>
      <c r="G17" s="375">
        <v>421</v>
      </c>
      <c r="H17" s="370" t="s">
        <v>821</v>
      </c>
      <c r="I17" s="51">
        <v>421</v>
      </c>
    </row>
    <row r="18" spans="1:9" ht="15.75" customHeight="1" x14ac:dyDescent="0.2">
      <c r="A18" s="367" t="s">
        <v>833</v>
      </c>
      <c r="B18" s="392" t="s">
        <v>834</v>
      </c>
      <c r="C18" s="368"/>
      <c r="D18" s="368"/>
      <c r="E18" s="369">
        <v>43234</v>
      </c>
      <c r="F18" s="369"/>
      <c r="G18" s="375">
        <v>421</v>
      </c>
      <c r="H18" s="370" t="s">
        <v>821</v>
      </c>
      <c r="I18" s="51">
        <v>421</v>
      </c>
    </row>
    <row r="19" spans="1:9" ht="15.75" customHeight="1" x14ac:dyDescent="0.2">
      <c r="A19" s="367" t="s">
        <v>835</v>
      </c>
      <c r="B19" s="392" t="s">
        <v>836</v>
      </c>
      <c r="C19" s="368"/>
      <c r="D19" s="368"/>
      <c r="E19" s="369">
        <v>43521</v>
      </c>
      <c r="F19" s="369"/>
      <c r="G19" s="375">
        <v>421</v>
      </c>
      <c r="H19" s="370" t="s">
        <v>821</v>
      </c>
      <c r="I19" s="51">
        <v>421</v>
      </c>
    </row>
    <row r="20" spans="1:9" ht="15.75" customHeight="1" x14ac:dyDescent="0.2">
      <c r="A20" s="367" t="s">
        <v>837</v>
      </c>
      <c r="B20" s="392" t="s">
        <v>818</v>
      </c>
      <c r="C20" s="368"/>
      <c r="D20" s="368"/>
      <c r="E20" s="369">
        <v>43661</v>
      </c>
      <c r="F20" s="369"/>
      <c r="G20" s="375">
        <v>421</v>
      </c>
      <c r="H20" s="370" t="s">
        <v>821</v>
      </c>
      <c r="I20" s="51">
        <v>421</v>
      </c>
    </row>
    <row r="21" spans="1:9" ht="15.75" customHeight="1" x14ac:dyDescent="0.2">
      <c r="A21" s="367" t="s">
        <v>838</v>
      </c>
      <c r="B21" s="392" t="s">
        <v>839</v>
      </c>
      <c r="C21" s="368"/>
      <c r="D21" s="368"/>
      <c r="E21" s="369">
        <v>43773</v>
      </c>
      <c r="F21" s="369"/>
      <c r="G21" s="375">
        <v>421</v>
      </c>
      <c r="H21" s="370" t="s">
        <v>821</v>
      </c>
      <c r="I21" s="51">
        <v>421</v>
      </c>
    </row>
    <row r="22" spans="1:9" ht="15.75" customHeight="1" x14ac:dyDescent="0.2">
      <c r="A22" s="367" t="s">
        <v>840</v>
      </c>
      <c r="B22" s="392" t="s">
        <v>841</v>
      </c>
      <c r="C22" s="368"/>
      <c r="D22" s="368"/>
      <c r="E22" s="369">
        <v>43808</v>
      </c>
      <c r="F22" s="369"/>
      <c r="G22" s="375">
        <v>421</v>
      </c>
      <c r="H22" s="370" t="s">
        <v>821</v>
      </c>
      <c r="I22" s="51">
        <v>421</v>
      </c>
    </row>
    <row r="23" spans="1:9" ht="15.75" customHeight="1" x14ac:dyDescent="0.2">
      <c r="A23" s="367" t="s">
        <v>842</v>
      </c>
      <c r="B23" s="392" t="s">
        <v>843</v>
      </c>
      <c r="C23" s="368"/>
      <c r="D23" s="368"/>
      <c r="E23" s="369">
        <v>44116</v>
      </c>
      <c r="F23" s="369"/>
      <c r="G23" s="375">
        <v>421</v>
      </c>
      <c r="H23" s="370" t="s">
        <v>821</v>
      </c>
      <c r="I23" s="51">
        <v>421</v>
      </c>
    </row>
    <row r="24" spans="1:9" ht="15.75" customHeight="1" x14ac:dyDescent="0.2">
      <c r="A24" s="367" t="s">
        <v>844</v>
      </c>
      <c r="B24" s="392" t="s">
        <v>845</v>
      </c>
      <c r="C24" s="368"/>
      <c r="D24" s="368"/>
      <c r="E24" s="470">
        <v>41169</v>
      </c>
      <c r="F24" s="369">
        <v>44172</v>
      </c>
      <c r="G24" s="375">
        <v>421</v>
      </c>
      <c r="H24" s="370" t="s">
        <v>821</v>
      </c>
      <c r="I24" s="51">
        <v>421</v>
      </c>
    </row>
    <row r="25" spans="1:9" ht="15.75" customHeight="1" x14ac:dyDescent="0.2">
      <c r="A25" s="367" t="s">
        <v>846</v>
      </c>
      <c r="B25" s="392" t="s">
        <v>847</v>
      </c>
      <c r="C25" s="368"/>
      <c r="D25" s="368"/>
      <c r="E25" s="369">
        <v>44228</v>
      </c>
      <c r="F25" s="369"/>
      <c r="G25" s="375">
        <v>421</v>
      </c>
      <c r="H25" s="370" t="s">
        <v>821</v>
      </c>
      <c r="I25" s="51">
        <v>421</v>
      </c>
    </row>
    <row r="26" spans="1:9" ht="15.75" customHeight="1" x14ac:dyDescent="0.2">
      <c r="A26" s="367" t="s">
        <v>848</v>
      </c>
      <c r="B26" s="392" t="s">
        <v>834</v>
      </c>
      <c r="C26" s="368"/>
      <c r="D26" s="368"/>
      <c r="E26" s="369">
        <v>44243</v>
      </c>
      <c r="F26" s="369"/>
      <c r="G26" s="375">
        <v>421</v>
      </c>
      <c r="H26" s="370" t="s">
        <v>821</v>
      </c>
      <c r="I26" s="51">
        <v>421</v>
      </c>
    </row>
    <row r="27" spans="1:9" ht="15.75" customHeight="1" x14ac:dyDescent="0.2">
      <c r="A27" s="367" t="s">
        <v>849</v>
      </c>
      <c r="B27" s="392" t="s">
        <v>850</v>
      </c>
      <c r="C27" s="368"/>
      <c r="D27" s="368"/>
      <c r="E27" s="369">
        <v>44243</v>
      </c>
      <c r="F27" s="369"/>
      <c r="G27" s="375" t="s">
        <v>851</v>
      </c>
      <c r="H27" s="370" t="s">
        <v>821</v>
      </c>
      <c r="I27" s="76">
        <v>441</v>
      </c>
    </row>
    <row r="28" spans="1:9" ht="15.75" customHeight="1" x14ac:dyDescent="0.2">
      <c r="A28" s="367" t="s">
        <v>852</v>
      </c>
      <c r="B28" s="392" t="s">
        <v>828</v>
      </c>
      <c r="C28" s="368"/>
      <c r="D28" s="368"/>
      <c r="E28" s="369">
        <v>40639</v>
      </c>
      <c r="F28" s="369"/>
      <c r="G28" s="375" t="s">
        <v>853</v>
      </c>
      <c r="H28" s="370" t="s">
        <v>821</v>
      </c>
      <c r="I28" s="76">
        <v>421</v>
      </c>
    </row>
    <row r="29" spans="1:9" ht="15.75" customHeight="1" x14ac:dyDescent="0.2">
      <c r="A29" s="371" t="s">
        <v>854</v>
      </c>
      <c r="B29" s="394" t="s">
        <v>818</v>
      </c>
      <c r="C29" s="372"/>
      <c r="D29" s="372"/>
      <c r="E29" s="373">
        <v>42170</v>
      </c>
      <c r="F29" s="373"/>
      <c r="G29" s="399" t="s">
        <v>853</v>
      </c>
      <c r="H29" s="374" t="s">
        <v>821</v>
      </c>
      <c r="I29" s="76">
        <v>421</v>
      </c>
    </row>
    <row r="30" spans="1:9" ht="15.75" customHeight="1" x14ac:dyDescent="0.2">
      <c r="A30" s="471" t="s">
        <v>855</v>
      </c>
      <c r="B30" s="471" t="s">
        <v>856</v>
      </c>
      <c r="C30" s="472" t="s">
        <v>552</v>
      </c>
      <c r="D30" s="472" t="s">
        <v>857</v>
      </c>
      <c r="E30" s="473">
        <v>43626</v>
      </c>
      <c r="F30" s="473">
        <v>44655</v>
      </c>
      <c r="G30" s="474" t="s">
        <v>858</v>
      </c>
      <c r="H30" s="471" t="s">
        <v>821</v>
      </c>
      <c r="I30" s="414"/>
    </row>
    <row r="31" spans="1:9" ht="15.75" customHeight="1" x14ac:dyDescent="0.2">
      <c r="A31" s="475" t="s">
        <v>859</v>
      </c>
      <c r="B31" s="476" t="s">
        <v>834</v>
      </c>
      <c r="C31" s="477" t="s">
        <v>860</v>
      </c>
      <c r="D31" s="477" t="s">
        <v>861</v>
      </c>
      <c r="E31" s="478">
        <v>44284</v>
      </c>
      <c r="F31" s="479"/>
      <c r="G31" s="476" t="s">
        <v>858</v>
      </c>
      <c r="H31" s="476" t="s">
        <v>821</v>
      </c>
      <c r="I31" s="416"/>
    </row>
    <row r="32" spans="1:9" ht="15.75" customHeight="1" x14ac:dyDescent="0.2">
      <c r="A32" s="475" t="s">
        <v>862</v>
      </c>
      <c r="B32" s="476" t="s">
        <v>834</v>
      </c>
      <c r="C32" s="477" t="s">
        <v>26</v>
      </c>
      <c r="D32" s="477" t="s">
        <v>863</v>
      </c>
      <c r="E32" s="478">
        <v>44452</v>
      </c>
      <c r="F32" s="479"/>
      <c r="G32" s="476" t="s">
        <v>858</v>
      </c>
      <c r="H32" s="476" t="s">
        <v>821</v>
      </c>
      <c r="I32" s="416"/>
    </row>
    <row r="33" spans="1:9" ht="15.75" customHeight="1" x14ac:dyDescent="0.2">
      <c r="A33" s="475" t="s">
        <v>864</v>
      </c>
      <c r="B33" s="476" t="s">
        <v>865</v>
      </c>
      <c r="C33" s="477" t="s">
        <v>13</v>
      </c>
      <c r="D33" s="477" t="s">
        <v>866</v>
      </c>
      <c r="E33" s="478">
        <v>44683</v>
      </c>
      <c r="F33" s="479"/>
      <c r="G33" s="476" t="s">
        <v>858</v>
      </c>
      <c r="H33" s="476" t="s">
        <v>821</v>
      </c>
      <c r="I33" s="416"/>
    </row>
    <row r="34" spans="1:9" ht="15.75" customHeight="1" x14ac:dyDescent="0.2">
      <c r="A34" s="475" t="s">
        <v>867</v>
      </c>
      <c r="B34" s="476" t="s">
        <v>868</v>
      </c>
      <c r="C34" s="477" t="s">
        <v>84</v>
      </c>
      <c r="D34" s="477" t="s">
        <v>869</v>
      </c>
      <c r="E34" s="478">
        <v>44291</v>
      </c>
      <c r="F34" s="479"/>
      <c r="G34" s="476" t="s">
        <v>858</v>
      </c>
      <c r="H34" s="476" t="s">
        <v>821</v>
      </c>
      <c r="I34" s="416"/>
    </row>
    <row r="35" spans="1:9" ht="15.75" customHeight="1" x14ac:dyDescent="0.2">
      <c r="A35" s="475"/>
      <c r="B35" s="480"/>
      <c r="C35" s="468"/>
      <c r="D35" s="468"/>
      <c r="E35" s="481"/>
      <c r="F35" s="481"/>
      <c r="G35" s="482"/>
      <c r="H35" s="480"/>
      <c r="I35" s="416"/>
    </row>
    <row r="36" spans="1:9" ht="15.75" customHeight="1" x14ac:dyDescent="0.2">
      <c r="A36" s="475"/>
      <c r="B36" s="476"/>
      <c r="C36" s="477"/>
      <c r="D36" s="477"/>
      <c r="E36" s="478"/>
      <c r="F36" s="479"/>
      <c r="G36" s="476"/>
      <c r="H36" s="476"/>
      <c r="I36" s="483"/>
    </row>
    <row r="37" spans="1:9" ht="15.75" customHeight="1" x14ac:dyDescent="0.2">
      <c r="A37" s="485"/>
      <c r="B37" s="485"/>
      <c r="C37" s="486"/>
      <c r="D37" s="486"/>
      <c r="E37" s="487"/>
      <c r="F37" s="487"/>
      <c r="G37" s="488"/>
      <c r="H37" s="485"/>
      <c r="I37" s="414"/>
    </row>
    <row r="38" spans="1:9" ht="15.75" customHeight="1" x14ac:dyDescent="0.2">
      <c r="A38" s="380" t="s">
        <v>870</v>
      </c>
      <c r="B38" s="395" t="s">
        <v>871</v>
      </c>
      <c r="C38" s="381" t="s">
        <v>21</v>
      </c>
      <c r="D38" s="381" t="s">
        <v>799</v>
      </c>
      <c r="E38" s="382">
        <v>40092</v>
      </c>
      <c r="F38" s="382"/>
      <c r="G38" s="383" t="s">
        <v>872</v>
      </c>
      <c r="H38" s="384" t="s">
        <v>873</v>
      </c>
      <c r="I38" s="105">
        <v>422</v>
      </c>
    </row>
    <row r="39" spans="1:9" s="73" customFormat="1" ht="15.75" customHeight="1" x14ac:dyDescent="0.2">
      <c r="A39" s="386" t="s">
        <v>874</v>
      </c>
      <c r="B39" s="396" t="s">
        <v>830</v>
      </c>
      <c r="C39" s="387" t="s">
        <v>814</v>
      </c>
      <c r="D39" s="387" t="s">
        <v>815</v>
      </c>
      <c r="E39" s="388">
        <v>39234</v>
      </c>
      <c r="F39" s="388">
        <v>41579</v>
      </c>
      <c r="G39" s="389">
        <v>422</v>
      </c>
      <c r="H39" s="415" t="s">
        <v>873</v>
      </c>
      <c r="I39" s="51">
        <v>422</v>
      </c>
    </row>
    <row r="40" spans="1:9" ht="15.75" customHeight="1" x14ac:dyDescent="0.2">
      <c r="A40" s="380" t="s">
        <v>875</v>
      </c>
      <c r="B40" s="395" t="s">
        <v>828</v>
      </c>
      <c r="C40" s="381" t="s">
        <v>814</v>
      </c>
      <c r="D40" s="381" t="s">
        <v>815</v>
      </c>
      <c r="E40" s="382">
        <v>42170</v>
      </c>
      <c r="F40" s="382"/>
      <c r="G40" s="383" t="s">
        <v>872</v>
      </c>
      <c r="H40" s="384" t="s">
        <v>873</v>
      </c>
      <c r="I40" s="51">
        <v>422</v>
      </c>
    </row>
    <row r="41" spans="1:9" ht="15.75" customHeight="1" x14ac:dyDescent="0.2">
      <c r="A41" s="380" t="s">
        <v>876</v>
      </c>
      <c r="B41" s="395" t="s">
        <v>856</v>
      </c>
      <c r="C41" s="381" t="s">
        <v>814</v>
      </c>
      <c r="D41" s="381" t="s">
        <v>815</v>
      </c>
      <c r="E41" s="382">
        <v>44172</v>
      </c>
      <c r="F41" s="382"/>
      <c r="G41" s="383" t="s">
        <v>872</v>
      </c>
      <c r="H41" s="384" t="s">
        <v>873</v>
      </c>
      <c r="I41" s="76">
        <v>422</v>
      </c>
    </row>
    <row r="42" spans="1:9" ht="15.75" customHeight="1" x14ac:dyDescent="0.2">
      <c r="A42" s="371" t="s">
        <v>877</v>
      </c>
      <c r="B42" s="394" t="s">
        <v>878</v>
      </c>
      <c r="C42" s="372" t="s">
        <v>8</v>
      </c>
      <c r="D42" s="372"/>
      <c r="E42" s="373">
        <v>38068</v>
      </c>
      <c r="F42" s="373"/>
      <c r="G42" s="399">
        <v>425</v>
      </c>
      <c r="H42" s="374" t="s">
        <v>879</v>
      </c>
      <c r="I42" s="76">
        <v>425</v>
      </c>
    </row>
    <row r="43" spans="1:9" ht="15.75" customHeight="1" x14ac:dyDescent="0.2">
      <c r="A43" s="380" t="s">
        <v>880</v>
      </c>
      <c r="B43" s="395" t="s">
        <v>881</v>
      </c>
      <c r="C43" s="489" t="s">
        <v>36</v>
      </c>
      <c r="D43" s="489" t="s">
        <v>882</v>
      </c>
      <c r="E43" s="382">
        <v>44165</v>
      </c>
      <c r="F43" s="382"/>
      <c r="G43" s="383" t="s">
        <v>883</v>
      </c>
      <c r="H43" s="384" t="s">
        <v>884</v>
      </c>
      <c r="I43" s="414">
        <v>426</v>
      </c>
    </row>
    <row r="44" spans="1:9" ht="15.75" customHeight="1" x14ac:dyDescent="0.2">
      <c r="A44" s="77" t="s">
        <v>885</v>
      </c>
      <c r="B44" s="393" t="s">
        <v>886</v>
      </c>
      <c r="C44" s="489" t="s">
        <v>36</v>
      </c>
      <c r="D44" s="489" t="s">
        <v>882</v>
      </c>
      <c r="E44" s="78">
        <v>42107</v>
      </c>
      <c r="F44" s="78"/>
      <c r="G44" s="363">
        <v>426</v>
      </c>
      <c r="H44" s="80" t="s">
        <v>884</v>
      </c>
      <c r="I44" s="105">
        <v>426</v>
      </c>
    </row>
    <row r="45" spans="1:9" ht="15.75" customHeight="1" x14ac:dyDescent="0.2">
      <c r="A45" s="376" t="s">
        <v>887</v>
      </c>
      <c r="B45" s="401" t="s">
        <v>886</v>
      </c>
      <c r="C45" s="377"/>
      <c r="D45" s="377"/>
      <c r="E45" s="378">
        <v>38915</v>
      </c>
      <c r="F45" s="378"/>
      <c r="G45" s="379">
        <v>427</v>
      </c>
      <c r="H45" s="402" t="s">
        <v>888</v>
      </c>
      <c r="I45" s="113">
        <v>427</v>
      </c>
    </row>
    <row r="46" spans="1:9" ht="15.75" customHeight="1" x14ac:dyDescent="0.2">
      <c r="A46" s="367" t="s">
        <v>889</v>
      </c>
      <c r="B46" s="392" t="s">
        <v>890</v>
      </c>
      <c r="C46" s="368"/>
      <c r="D46" s="368"/>
      <c r="E46" s="369">
        <v>39231</v>
      </c>
      <c r="F46" s="369"/>
      <c r="G46" s="375">
        <v>427</v>
      </c>
      <c r="H46" s="370" t="s">
        <v>888</v>
      </c>
      <c r="I46" s="51">
        <v>427</v>
      </c>
    </row>
    <row r="47" spans="1:9" ht="15.75" customHeight="1" x14ac:dyDescent="0.2">
      <c r="A47" s="367" t="s">
        <v>891</v>
      </c>
      <c r="B47" s="392" t="s">
        <v>878</v>
      </c>
      <c r="C47" s="368"/>
      <c r="D47" s="368"/>
      <c r="E47" s="369">
        <v>40064</v>
      </c>
      <c r="F47" s="369"/>
      <c r="G47" s="375">
        <v>427</v>
      </c>
      <c r="H47" s="370" t="s">
        <v>888</v>
      </c>
      <c r="I47" s="51">
        <v>427</v>
      </c>
    </row>
    <row r="48" spans="1:9" ht="15.75" customHeight="1" x14ac:dyDescent="0.2">
      <c r="A48" s="367" t="s">
        <v>892</v>
      </c>
      <c r="B48" s="392" t="s">
        <v>893</v>
      </c>
      <c r="C48" s="368"/>
      <c r="D48" s="368"/>
      <c r="E48" s="369">
        <v>40730</v>
      </c>
      <c r="F48" s="369"/>
      <c r="G48" s="375">
        <v>427</v>
      </c>
      <c r="H48" s="370" t="s">
        <v>888</v>
      </c>
      <c r="I48" s="51">
        <v>427</v>
      </c>
    </row>
    <row r="49" spans="1:9" ht="15.75" customHeight="1" x14ac:dyDescent="0.2">
      <c r="A49" s="367" t="s">
        <v>894</v>
      </c>
      <c r="B49" s="392" t="s">
        <v>895</v>
      </c>
      <c r="C49" s="368"/>
      <c r="D49" s="368"/>
      <c r="E49" s="369">
        <v>40884</v>
      </c>
      <c r="F49" s="369"/>
      <c r="G49" s="375">
        <v>427</v>
      </c>
      <c r="H49" s="370" t="s">
        <v>888</v>
      </c>
      <c r="I49" s="51">
        <v>427</v>
      </c>
    </row>
    <row r="50" spans="1:9" ht="15.75" customHeight="1" x14ac:dyDescent="0.2">
      <c r="A50" s="367" t="s">
        <v>896</v>
      </c>
      <c r="B50" s="392" t="s">
        <v>897</v>
      </c>
      <c r="C50" s="368"/>
      <c r="D50" s="368"/>
      <c r="E50" s="369">
        <v>41533</v>
      </c>
      <c r="F50" s="369"/>
      <c r="G50" s="375">
        <v>427</v>
      </c>
      <c r="H50" s="370" t="s">
        <v>888</v>
      </c>
      <c r="I50" s="51">
        <v>427</v>
      </c>
    </row>
    <row r="51" spans="1:9" ht="15.75" customHeight="1" x14ac:dyDescent="0.2">
      <c r="A51" s="367" t="s">
        <v>898</v>
      </c>
      <c r="B51" s="392" t="s">
        <v>881</v>
      </c>
      <c r="C51" s="368"/>
      <c r="D51" s="368"/>
      <c r="E51" s="369">
        <v>41939</v>
      </c>
      <c r="F51" s="369"/>
      <c r="G51" s="375">
        <v>427</v>
      </c>
      <c r="H51" s="370" t="s">
        <v>888</v>
      </c>
      <c r="I51" s="51">
        <v>427</v>
      </c>
    </row>
    <row r="52" spans="1:9" ht="15.75" customHeight="1" x14ac:dyDescent="0.2">
      <c r="A52" s="367" t="s">
        <v>899</v>
      </c>
      <c r="B52" s="392" t="s">
        <v>881</v>
      </c>
      <c r="C52" s="368"/>
      <c r="D52" s="368"/>
      <c r="E52" s="369">
        <v>42674</v>
      </c>
      <c r="F52" s="369"/>
      <c r="G52" s="375">
        <v>427</v>
      </c>
      <c r="H52" s="370" t="s">
        <v>888</v>
      </c>
      <c r="I52" s="51">
        <v>427</v>
      </c>
    </row>
    <row r="53" spans="1:9" ht="24.75" customHeight="1" x14ac:dyDescent="0.2">
      <c r="A53" s="367" t="s">
        <v>900</v>
      </c>
      <c r="B53" s="392" t="s">
        <v>901</v>
      </c>
      <c r="C53" s="368"/>
      <c r="D53" s="368"/>
      <c r="E53" s="369">
        <v>43059</v>
      </c>
      <c r="F53" s="369"/>
      <c r="G53" s="375">
        <v>427</v>
      </c>
      <c r="H53" s="370" t="s">
        <v>888</v>
      </c>
      <c r="I53" s="51">
        <v>427</v>
      </c>
    </row>
    <row r="54" spans="1:9" ht="15.75" customHeight="1" x14ac:dyDescent="0.2">
      <c r="A54" s="367" t="s">
        <v>902</v>
      </c>
      <c r="B54" s="392" t="s">
        <v>881</v>
      </c>
      <c r="C54" s="368"/>
      <c r="D54" s="368"/>
      <c r="E54" s="369">
        <v>44130</v>
      </c>
      <c r="F54" s="369"/>
      <c r="G54" s="375">
        <v>427</v>
      </c>
      <c r="H54" s="370" t="s">
        <v>888</v>
      </c>
      <c r="I54" s="51">
        <v>427</v>
      </c>
    </row>
    <row r="55" spans="1:9" ht="15.75" customHeight="1" x14ac:dyDescent="0.2">
      <c r="A55" s="367" t="s">
        <v>903</v>
      </c>
      <c r="B55" s="392" t="s">
        <v>881</v>
      </c>
      <c r="C55" s="368"/>
      <c r="D55" s="368"/>
      <c r="E55" s="369">
        <v>44256</v>
      </c>
      <c r="F55" s="369"/>
      <c r="G55" s="375">
        <v>427</v>
      </c>
      <c r="H55" s="370" t="s">
        <v>888</v>
      </c>
      <c r="I55" s="51">
        <v>427</v>
      </c>
    </row>
    <row r="56" spans="1:9" ht="15.75" customHeight="1" x14ac:dyDescent="0.2">
      <c r="A56" s="367" t="s">
        <v>904</v>
      </c>
      <c r="B56" s="392" t="s">
        <v>881</v>
      </c>
      <c r="C56" s="368"/>
      <c r="D56" s="368"/>
      <c r="E56" s="369">
        <v>44256</v>
      </c>
      <c r="F56" s="369"/>
      <c r="G56" s="375">
        <v>427</v>
      </c>
      <c r="H56" s="370" t="s">
        <v>888</v>
      </c>
      <c r="I56" s="51">
        <v>427</v>
      </c>
    </row>
    <row r="57" spans="1:9" ht="15.75" customHeight="1" x14ac:dyDescent="0.2">
      <c r="A57" s="77" t="s">
        <v>905</v>
      </c>
      <c r="B57" s="393" t="s">
        <v>906</v>
      </c>
      <c r="C57" s="354"/>
      <c r="D57" s="354"/>
      <c r="E57" s="78">
        <v>43220</v>
      </c>
      <c r="F57" s="78"/>
      <c r="G57" s="363">
        <v>430</v>
      </c>
      <c r="H57" s="80" t="s">
        <v>907</v>
      </c>
      <c r="I57" s="51">
        <v>430</v>
      </c>
    </row>
    <row r="58" spans="1:9" s="123" customFormat="1" ht="15.75" customHeight="1" x14ac:dyDescent="0.2">
      <c r="A58" s="380" t="s">
        <v>908</v>
      </c>
      <c r="B58" s="395" t="s">
        <v>909</v>
      </c>
      <c r="C58" s="381"/>
      <c r="D58" s="381"/>
      <c r="E58" s="382">
        <v>44284</v>
      </c>
      <c r="F58" s="382"/>
      <c r="G58" s="383" t="s">
        <v>910</v>
      </c>
      <c r="H58" s="384" t="s">
        <v>907</v>
      </c>
      <c r="I58" s="385">
        <v>430</v>
      </c>
    </row>
    <row r="59" spans="1:9" ht="15.75" customHeight="1" x14ac:dyDescent="0.2">
      <c r="A59" s="371" t="s">
        <v>911</v>
      </c>
      <c r="B59" s="394" t="s">
        <v>906</v>
      </c>
      <c r="C59" s="372" t="s">
        <v>912</v>
      </c>
      <c r="D59" s="372" t="s">
        <v>913</v>
      </c>
      <c r="E59" s="373">
        <v>39923</v>
      </c>
      <c r="F59" s="373"/>
      <c r="G59" s="399">
        <v>432</v>
      </c>
      <c r="H59" s="374" t="s">
        <v>914</v>
      </c>
      <c r="I59" s="51">
        <v>432</v>
      </c>
    </row>
    <row r="60" spans="1:9" ht="15.75" customHeight="1" x14ac:dyDescent="0.2">
      <c r="A60" s="367" t="s">
        <v>915</v>
      </c>
      <c r="B60" s="392" t="s">
        <v>916</v>
      </c>
      <c r="C60" s="368" t="s">
        <v>525</v>
      </c>
      <c r="D60" s="368" t="s">
        <v>917</v>
      </c>
      <c r="E60" s="369">
        <v>43633</v>
      </c>
      <c r="F60" s="369"/>
      <c r="G60" s="375">
        <v>432</v>
      </c>
      <c r="H60" s="370" t="s">
        <v>914</v>
      </c>
      <c r="I60" s="105">
        <v>432</v>
      </c>
    </row>
    <row r="61" spans="1:9" ht="15.75" customHeight="1" x14ac:dyDescent="0.2">
      <c r="A61" s="480" t="s">
        <v>918</v>
      </c>
      <c r="B61" s="480" t="s">
        <v>909</v>
      </c>
      <c r="C61" s="468" t="s">
        <v>525</v>
      </c>
      <c r="D61" s="468" t="s">
        <v>917</v>
      </c>
      <c r="E61" s="481">
        <v>44487</v>
      </c>
      <c r="F61" s="481"/>
      <c r="G61" s="375">
        <v>432</v>
      </c>
      <c r="H61" s="480" t="s">
        <v>914</v>
      </c>
      <c r="I61" s="105"/>
    </row>
    <row r="62" spans="1:9" ht="15.75" customHeight="1" x14ac:dyDescent="0.2">
      <c r="A62" s="380" t="s">
        <v>919</v>
      </c>
      <c r="B62" s="395" t="s">
        <v>920</v>
      </c>
      <c r="C62" s="489" t="s">
        <v>36</v>
      </c>
      <c r="D62" s="489" t="s">
        <v>882</v>
      </c>
      <c r="E62" s="382">
        <v>44249</v>
      </c>
      <c r="F62" s="382"/>
      <c r="G62" s="383" t="s">
        <v>921</v>
      </c>
      <c r="H62" s="384" t="s">
        <v>922</v>
      </c>
      <c r="I62" s="403">
        <v>436</v>
      </c>
    </row>
    <row r="63" spans="1:9" ht="15.75" customHeight="1" x14ac:dyDescent="0.2">
      <c r="A63" s="475" t="s">
        <v>923</v>
      </c>
      <c r="B63" s="475" t="s">
        <v>881</v>
      </c>
      <c r="C63" s="489" t="s">
        <v>36</v>
      </c>
      <c r="D63" s="489" t="s">
        <v>882</v>
      </c>
      <c r="E63" s="490">
        <v>44431</v>
      </c>
      <c r="F63" s="490"/>
      <c r="G63" s="383" t="s">
        <v>921</v>
      </c>
      <c r="H63" s="384" t="s">
        <v>922</v>
      </c>
      <c r="I63" s="105"/>
    </row>
    <row r="64" spans="1:9" ht="15.75" customHeight="1" x14ac:dyDescent="0.2">
      <c r="A64" s="404" t="s">
        <v>924</v>
      </c>
      <c r="B64" s="405" t="s">
        <v>925</v>
      </c>
      <c r="C64" s="406" t="s">
        <v>22</v>
      </c>
      <c r="D64" s="406" t="s">
        <v>794</v>
      </c>
      <c r="E64" s="406"/>
      <c r="F64" s="406"/>
      <c r="G64" s="407">
        <v>439</v>
      </c>
      <c r="H64" s="408" t="s">
        <v>580</v>
      </c>
      <c r="I64" s="79">
        <v>439</v>
      </c>
    </row>
    <row r="65" spans="1:9" ht="15.75" customHeight="1" x14ac:dyDescent="0.2">
      <c r="A65" s="77" t="s">
        <v>926</v>
      </c>
      <c r="B65" s="393" t="s">
        <v>925</v>
      </c>
      <c r="C65" s="354" t="s">
        <v>524</v>
      </c>
      <c r="D65" s="354" t="s">
        <v>927</v>
      </c>
      <c r="E65" s="478">
        <v>44466</v>
      </c>
      <c r="F65" s="78"/>
      <c r="G65" s="363" t="s">
        <v>928</v>
      </c>
      <c r="H65" s="80" t="s">
        <v>580</v>
      </c>
      <c r="I65" s="105">
        <v>439</v>
      </c>
    </row>
    <row r="66" spans="1:9" ht="15.75" customHeight="1" x14ac:dyDescent="0.2">
      <c r="A66" s="476" t="s">
        <v>929</v>
      </c>
      <c r="B66" s="476" t="s">
        <v>925</v>
      </c>
      <c r="C66" s="477" t="s">
        <v>524</v>
      </c>
      <c r="D66" s="477" t="s">
        <v>927</v>
      </c>
      <c r="E66" s="491">
        <v>44550</v>
      </c>
      <c r="F66" s="478"/>
      <c r="G66" s="492">
        <v>439</v>
      </c>
      <c r="H66" s="80" t="s">
        <v>580</v>
      </c>
      <c r="I66" s="484">
        <v>439</v>
      </c>
    </row>
    <row r="67" spans="1:9" ht="15.75" customHeight="1" x14ac:dyDescent="0.2">
      <c r="A67" s="358" t="s">
        <v>930</v>
      </c>
      <c r="B67" s="398" t="s">
        <v>931</v>
      </c>
      <c r="C67" s="359" t="s">
        <v>13</v>
      </c>
      <c r="D67" s="359" t="s">
        <v>866</v>
      </c>
      <c r="E67" s="360">
        <v>36831</v>
      </c>
      <c r="F67" s="360"/>
      <c r="G67" s="364">
        <v>441</v>
      </c>
      <c r="H67" s="361" t="s">
        <v>932</v>
      </c>
      <c r="I67" s="51">
        <v>441</v>
      </c>
    </row>
    <row r="68" spans="1:9" ht="15.75" customHeight="1" x14ac:dyDescent="0.2">
      <c r="A68" s="77" t="s">
        <v>933</v>
      </c>
      <c r="B68" s="393" t="s">
        <v>934</v>
      </c>
      <c r="C68" s="354" t="s">
        <v>22</v>
      </c>
      <c r="D68" s="354" t="s">
        <v>794</v>
      </c>
      <c r="E68" s="78">
        <v>39027</v>
      </c>
      <c r="F68" s="78"/>
      <c r="G68" s="363">
        <v>441</v>
      </c>
      <c r="H68" s="80" t="s">
        <v>932</v>
      </c>
      <c r="I68" s="51">
        <v>441</v>
      </c>
    </row>
    <row r="69" spans="1:9" ht="15.75" customHeight="1" x14ac:dyDescent="0.2">
      <c r="A69" s="365" t="s">
        <v>935</v>
      </c>
      <c r="B69" s="393" t="s">
        <v>936</v>
      </c>
      <c r="C69" s="354" t="s">
        <v>937</v>
      </c>
      <c r="D69" s="354" t="s">
        <v>937</v>
      </c>
      <c r="E69" s="78">
        <v>39995</v>
      </c>
      <c r="F69" s="78"/>
      <c r="G69" s="363">
        <v>441</v>
      </c>
      <c r="H69" s="80" t="s">
        <v>932</v>
      </c>
      <c r="I69" s="51">
        <v>441</v>
      </c>
    </row>
    <row r="70" spans="1:9" ht="15.75" customHeight="1" x14ac:dyDescent="0.2">
      <c r="A70" s="77" t="s">
        <v>938</v>
      </c>
      <c r="B70" s="393" t="s">
        <v>939</v>
      </c>
      <c r="C70" s="354"/>
      <c r="D70" s="354"/>
      <c r="E70" s="78">
        <v>41456</v>
      </c>
      <c r="F70" s="78"/>
      <c r="G70" s="363">
        <v>441</v>
      </c>
      <c r="H70" s="80" t="s">
        <v>932</v>
      </c>
      <c r="I70" s="51">
        <v>441</v>
      </c>
    </row>
    <row r="71" spans="1:9" ht="15.75" customHeight="1" x14ac:dyDescent="0.2">
      <c r="A71" s="77" t="s">
        <v>940</v>
      </c>
      <c r="B71" s="393" t="s">
        <v>830</v>
      </c>
      <c r="C71" s="354"/>
      <c r="D71" s="354"/>
      <c r="E71" s="78">
        <v>41579</v>
      </c>
      <c r="F71" s="78"/>
      <c r="G71" s="363">
        <v>441</v>
      </c>
      <c r="H71" s="80" t="s">
        <v>932</v>
      </c>
      <c r="I71" s="51">
        <v>441</v>
      </c>
    </row>
    <row r="72" spans="1:9" ht="15.75" customHeight="1" x14ac:dyDescent="0.2">
      <c r="A72" s="77" t="s">
        <v>941</v>
      </c>
      <c r="B72" s="393" t="s">
        <v>942</v>
      </c>
      <c r="C72" s="354"/>
      <c r="D72" s="354"/>
      <c r="E72" s="78">
        <v>43977</v>
      </c>
      <c r="F72" s="78"/>
      <c r="G72" s="363">
        <v>441</v>
      </c>
      <c r="H72" s="80" t="s">
        <v>932</v>
      </c>
      <c r="I72" s="51">
        <v>441</v>
      </c>
    </row>
    <row r="73" spans="1:9" ht="15.75" customHeight="1" x14ac:dyDescent="0.2">
      <c r="A73" s="77" t="s">
        <v>943</v>
      </c>
      <c r="B73" s="393" t="s">
        <v>944</v>
      </c>
      <c r="C73" s="354"/>
      <c r="D73" s="354"/>
      <c r="E73" s="78">
        <v>44039</v>
      </c>
      <c r="F73" s="78"/>
      <c r="G73" s="363">
        <v>441</v>
      </c>
      <c r="H73" s="80" t="s">
        <v>932</v>
      </c>
      <c r="I73" s="51">
        <v>441</v>
      </c>
    </row>
    <row r="74" spans="1:9" ht="15.75" customHeight="1" x14ac:dyDescent="0.2">
      <c r="A74" s="77" t="s">
        <v>945</v>
      </c>
      <c r="B74" s="393" t="s">
        <v>946</v>
      </c>
      <c r="C74" s="354"/>
      <c r="D74" s="354"/>
      <c r="E74" s="78">
        <v>44137</v>
      </c>
      <c r="F74" s="78"/>
      <c r="G74" s="363">
        <v>441</v>
      </c>
      <c r="H74" s="80" t="s">
        <v>932</v>
      </c>
      <c r="I74" s="51">
        <v>441</v>
      </c>
    </row>
    <row r="75" spans="1:9" ht="23.25" customHeight="1" x14ac:dyDescent="0.2">
      <c r="A75" s="77" t="s">
        <v>947</v>
      </c>
      <c r="B75" s="393" t="s">
        <v>948</v>
      </c>
      <c r="C75" s="354"/>
      <c r="D75" s="354"/>
      <c r="E75" s="78">
        <v>44207</v>
      </c>
      <c r="F75" s="78"/>
      <c r="G75" s="363">
        <v>441</v>
      </c>
      <c r="H75" s="80" t="s">
        <v>932</v>
      </c>
      <c r="I75" s="51">
        <v>441</v>
      </c>
    </row>
    <row r="76" spans="1:9" ht="15.75" customHeight="1" x14ac:dyDescent="0.2">
      <c r="A76" s="77" t="s">
        <v>949</v>
      </c>
      <c r="B76" s="393" t="s">
        <v>950</v>
      </c>
      <c r="C76" s="354"/>
      <c r="D76" s="354"/>
      <c r="E76" s="78">
        <v>44215</v>
      </c>
      <c r="F76" s="78"/>
      <c r="G76" s="363">
        <v>441</v>
      </c>
      <c r="H76" s="80" t="s">
        <v>932</v>
      </c>
      <c r="I76" s="51">
        <v>441</v>
      </c>
    </row>
    <row r="77" spans="1:9" ht="15.75" customHeight="1" x14ac:dyDescent="0.2">
      <c r="A77" s="77" t="s">
        <v>951</v>
      </c>
      <c r="B77" s="393" t="s">
        <v>952</v>
      </c>
      <c r="C77" s="354"/>
      <c r="D77" s="354"/>
      <c r="E77" s="78">
        <v>44225</v>
      </c>
      <c r="F77" s="78"/>
      <c r="G77" s="363">
        <v>441</v>
      </c>
      <c r="H77" s="80" t="s">
        <v>932</v>
      </c>
      <c r="I77" s="51">
        <v>441</v>
      </c>
    </row>
    <row r="78" spans="1:9" ht="15.75" customHeight="1" x14ac:dyDescent="0.2">
      <c r="A78" s="367" t="s">
        <v>953</v>
      </c>
      <c r="B78" s="392" t="s">
        <v>954</v>
      </c>
      <c r="C78" s="368"/>
      <c r="D78" s="368"/>
      <c r="E78" s="369">
        <v>42856</v>
      </c>
      <c r="F78" s="369"/>
      <c r="G78" s="375">
        <v>442</v>
      </c>
      <c r="H78" s="370" t="s">
        <v>955</v>
      </c>
      <c r="I78" s="51">
        <v>442</v>
      </c>
    </row>
    <row r="79" spans="1:9" ht="15.75" customHeight="1" x14ac:dyDescent="0.2">
      <c r="A79" s="367" t="s">
        <v>956</v>
      </c>
      <c r="B79" s="392" t="s">
        <v>957</v>
      </c>
      <c r="C79" s="368"/>
      <c r="D79" s="368"/>
      <c r="E79" s="369">
        <v>42898</v>
      </c>
      <c r="F79" s="369"/>
      <c r="G79" s="375">
        <v>442</v>
      </c>
      <c r="H79" s="370" t="s">
        <v>955</v>
      </c>
      <c r="I79" s="51">
        <v>442</v>
      </c>
    </row>
    <row r="80" spans="1:9" ht="24.75" customHeight="1" x14ac:dyDescent="0.2">
      <c r="A80" s="367" t="s">
        <v>958</v>
      </c>
      <c r="B80" s="392" t="s">
        <v>959</v>
      </c>
      <c r="C80" s="368"/>
      <c r="D80" s="368"/>
      <c r="E80" s="369">
        <v>44151</v>
      </c>
      <c r="F80" s="369"/>
      <c r="G80" s="375">
        <v>442</v>
      </c>
      <c r="H80" s="370" t="s">
        <v>955</v>
      </c>
      <c r="I80" s="51">
        <v>442</v>
      </c>
    </row>
    <row r="81" spans="1:9" ht="15.75" customHeight="1" x14ac:dyDescent="0.2">
      <c r="A81" s="367" t="s">
        <v>960</v>
      </c>
      <c r="B81" s="392" t="s">
        <v>961</v>
      </c>
      <c r="C81" s="368"/>
      <c r="D81" s="368"/>
      <c r="E81" s="369">
        <v>44158</v>
      </c>
      <c r="F81" s="369"/>
      <c r="G81" s="375">
        <v>442</v>
      </c>
      <c r="H81" s="370" t="s">
        <v>955</v>
      </c>
      <c r="I81" s="51">
        <v>442</v>
      </c>
    </row>
    <row r="82" spans="1:9" ht="15.75" customHeight="1" x14ac:dyDescent="0.2">
      <c r="A82" s="367" t="s">
        <v>962</v>
      </c>
      <c r="B82" s="392" t="s">
        <v>963</v>
      </c>
      <c r="C82" s="368"/>
      <c r="D82" s="368"/>
      <c r="E82" s="369">
        <v>44277</v>
      </c>
      <c r="F82" s="369"/>
      <c r="G82" s="375">
        <v>442</v>
      </c>
      <c r="H82" s="370" t="s">
        <v>955</v>
      </c>
      <c r="I82" s="51">
        <v>442</v>
      </c>
    </row>
    <row r="83" spans="1:9" ht="15.75" customHeight="1" x14ac:dyDescent="0.2">
      <c r="A83" s="77" t="s">
        <v>964</v>
      </c>
      <c r="B83" s="393" t="s">
        <v>965</v>
      </c>
      <c r="C83" s="354"/>
      <c r="D83" s="354"/>
      <c r="E83" s="78">
        <v>39678</v>
      </c>
      <c r="F83" s="78"/>
      <c r="G83" s="363">
        <v>443</v>
      </c>
      <c r="H83" s="80" t="s">
        <v>966</v>
      </c>
      <c r="I83" s="51">
        <v>443</v>
      </c>
    </row>
    <row r="84" spans="1:9" ht="15.75" customHeight="1" x14ac:dyDescent="0.2">
      <c r="A84" s="77" t="s">
        <v>967</v>
      </c>
      <c r="B84" s="393" t="s">
        <v>968</v>
      </c>
      <c r="C84" s="354"/>
      <c r="D84" s="354"/>
      <c r="E84" s="78">
        <v>44137</v>
      </c>
      <c r="F84" s="78"/>
      <c r="G84" s="363">
        <v>443</v>
      </c>
      <c r="H84" s="80" t="s">
        <v>966</v>
      </c>
      <c r="I84" s="51">
        <v>443</v>
      </c>
    </row>
    <row r="85" spans="1:9" ht="15.75" customHeight="1" x14ac:dyDescent="0.2">
      <c r="A85" s="77" t="s">
        <v>969</v>
      </c>
      <c r="B85" s="393" t="s">
        <v>970</v>
      </c>
      <c r="C85" s="357"/>
      <c r="D85" s="357"/>
      <c r="E85" s="78">
        <v>44165</v>
      </c>
      <c r="F85" s="78"/>
      <c r="G85" s="363">
        <v>443</v>
      </c>
      <c r="H85" s="80" t="s">
        <v>966</v>
      </c>
      <c r="I85" s="51">
        <v>443</v>
      </c>
    </row>
    <row r="86" spans="1:9" s="73" customFormat="1" ht="15.75" customHeight="1" x14ac:dyDescent="0.2">
      <c r="A86" s="380" t="s">
        <v>971</v>
      </c>
      <c r="B86" s="412" t="s">
        <v>818</v>
      </c>
      <c r="C86" s="489" t="s">
        <v>972</v>
      </c>
      <c r="D86" s="489" t="s">
        <v>973</v>
      </c>
      <c r="E86" s="413">
        <v>36944</v>
      </c>
      <c r="F86" s="382"/>
      <c r="G86" s="383" t="s">
        <v>974</v>
      </c>
      <c r="H86" s="384" t="s">
        <v>69</v>
      </c>
      <c r="I86" s="76">
        <v>443</v>
      </c>
    </row>
    <row r="87" spans="1:9" ht="15.75" customHeight="1" x14ac:dyDescent="0.2">
      <c r="A87" s="367" t="s">
        <v>975</v>
      </c>
      <c r="B87" s="392" t="s">
        <v>976</v>
      </c>
      <c r="C87" s="377"/>
      <c r="D87" s="377"/>
      <c r="E87" s="369">
        <v>42516</v>
      </c>
      <c r="F87" s="369"/>
      <c r="G87" s="375">
        <v>444</v>
      </c>
      <c r="H87" s="370" t="s">
        <v>977</v>
      </c>
      <c r="I87" s="51">
        <v>444</v>
      </c>
    </row>
    <row r="88" spans="1:9" ht="15.75" customHeight="1" x14ac:dyDescent="0.2">
      <c r="A88" s="77" t="s">
        <v>978</v>
      </c>
      <c r="B88" s="393" t="s">
        <v>979</v>
      </c>
      <c r="C88" s="354"/>
      <c r="D88" s="354"/>
      <c r="E88" s="78">
        <v>43556</v>
      </c>
      <c r="F88" s="78"/>
      <c r="G88" s="363">
        <v>445</v>
      </c>
      <c r="H88" s="80" t="s">
        <v>980</v>
      </c>
      <c r="I88" s="51">
        <v>445</v>
      </c>
    </row>
    <row r="89" spans="1:9" ht="15.75" customHeight="1" x14ac:dyDescent="0.2">
      <c r="A89" s="367" t="s">
        <v>981</v>
      </c>
      <c r="B89" s="392" t="s">
        <v>979</v>
      </c>
      <c r="C89" s="368"/>
      <c r="D89" s="368"/>
      <c r="E89" s="369">
        <v>44249</v>
      </c>
      <c r="F89" s="369"/>
      <c r="G89" s="375">
        <v>448</v>
      </c>
      <c r="H89" s="370" t="s">
        <v>982</v>
      </c>
      <c r="I89" s="51">
        <v>448</v>
      </c>
    </row>
    <row r="90" spans="1:9" ht="15.75" customHeight="1" x14ac:dyDescent="0.2">
      <c r="A90" s="77" t="s">
        <v>983</v>
      </c>
      <c r="B90" s="393" t="s">
        <v>916</v>
      </c>
      <c r="C90" s="354"/>
      <c r="D90" s="354"/>
      <c r="E90" s="78">
        <v>43515</v>
      </c>
      <c r="F90" s="78"/>
      <c r="G90" s="363">
        <v>449</v>
      </c>
      <c r="H90" s="80" t="s">
        <v>984</v>
      </c>
      <c r="I90" s="51">
        <v>449</v>
      </c>
    </row>
    <row r="91" spans="1:9" s="123" customFormat="1" ht="15.75" customHeight="1" x14ac:dyDescent="0.2">
      <c r="A91" s="380" t="s">
        <v>985</v>
      </c>
      <c r="B91" s="395" t="s">
        <v>986</v>
      </c>
      <c r="C91" s="381"/>
      <c r="D91" s="381"/>
      <c r="E91" s="382">
        <v>44243</v>
      </c>
      <c r="F91" s="382"/>
      <c r="G91" s="383" t="s">
        <v>987</v>
      </c>
      <c r="H91" s="384" t="s">
        <v>907</v>
      </c>
      <c r="I91" s="385">
        <v>449</v>
      </c>
    </row>
    <row r="92" spans="1:9" ht="15.75" customHeight="1" x14ac:dyDescent="0.2">
      <c r="A92" s="367" t="s">
        <v>988</v>
      </c>
      <c r="B92" s="392" t="s">
        <v>989</v>
      </c>
      <c r="C92" s="368"/>
      <c r="D92" s="368"/>
      <c r="E92" s="368">
        <v>38474</v>
      </c>
      <c r="F92" s="368"/>
      <c r="G92" s="400" t="s">
        <v>987</v>
      </c>
      <c r="H92" s="409" t="s">
        <v>990</v>
      </c>
      <c r="I92" s="391">
        <v>449</v>
      </c>
    </row>
    <row r="93" spans="1:9" ht="15.75" customHeight="1" x14ac:dyDescent="0.2">
      <c r="A93" s="367" t="s">
        <v>991</v>
      </c>
      <c r="B93" s="392" t="s">
        <v>989</v>
      </c>
      <c r="C93" s="368"/>
      <c r="D93" s="368"/>
      <c r="E93" s="368">
        <v>39706</v>
      </c>
      <c r="F93" s="368"/>
      <c r="G93" s="400" t="s">
        <v>987</v>
      </c>
      <c r="H93" s="409" t="s">
        <v>990</v>
      </c>
      <c r="I93" s="391">
        <v>449</v>
      </c>
    </row>
    <row r="94" spans="1:9" ht="15.75" customHeight="1" x14ac:dyDescent="0.2">
      <c r="A94" s="367" t="s">
        <v>992</v>
      </c>
      <c r="B94" s="392" t="s">
        <v>906</v>
      </c>
      <c r="C94" s="368"/>
      <c r="D94" s="368"/>
      <c r="E94" s="369">
        <v>38754</v>
      </c>
      <c r="F94" s="369"/>
      <c r="G94" s="375">
        <v>450</v>
      </c>
      <c r="H94" s="370" t="s">
        <v>993</v>
      </c>
      <c r="I94" s="51">
        <v>450</v>
      </c>
    </row>
    <row r="95" spans="1:9" ht="15.75" customHeight="1" x14ac:dyDescent="0.2">
      <c r="A95" s="77" t="s">
        <v>994</v>
      </c>
      <c r="B95" s="393" t="s">
        <v>995</v>
      </c>
      <c r="C95" s="354"/>
      <c r="D95" s="354"/>
      <c r="E95" s="78">
        <v>36843</v>
      </c>
      <c r="F95" s="78"/>
      <c r="G95" s="363">
        <v>452</v>
      </c>
      <c r="H95" s="80" t="s">
        <v>996</v>
      </c>
      <c r="I95" s="51">
        <v>452</v>
      </c>
    </row>
    <row r="96" spans="1:9" ht="15.75" customHeight="1" x14ac:dyDescent="0.2">
      <c r="A96" s="356" t="s">
        <v>997</v>
      </c>
      <c r="B96" s="397" t="s">
        <v>893</v>
      </c>
      <c r="C96" s="357"/>
      <c r="D96" s="357"/>
      <c r="E96" s="410">
        <v>40217</v>
      </c>
      <c r="F96" s="410"/>
      <c r="G96" s="390">
        <v>452</v>
      </c>
      <c r="H96" s="411" t="s">
        <v>996</v>
      </c>
      <c r="I96" s="91">
        <v>452</v>
      </c>
    </row>
    <row r="97" spans="1:9" ht="15.75" customHeight="1" x14ac:dyDescent="0.2">
      <c r="A97" s="380" t="s">
        <v>998</v>
      </c>
      <c r="B97" s="395" t="s">
        <v>886</v>
      </c>
      <c r="C97" s="381"/>
      <c r="D97" s="381"/>
      <c r="E97" s="382">
        <v>42121</v>
      </c>
      <c r="F97" s="382"/>
      <c r="G97" s="383" t="s">
        <v>999</v>
      </c>
      <c r="H97" s="384" t="s">
        <v>996</v>
      </c>
      <c r="I97" s="385">
        <v>452</v>
      </c>
    </row>
  </sheetData>
  <sortState xmlns:xlrd2="http://schemas.microsoft.com/office/spreadsheetml/2017/richdata2" ref="A2:I97">
    <sortCondition ref="G2:G97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20A7-8E33-4561-A470-F54917ED6A5D}">
  <dimension ref="A1:J103"/>
  <sheetViews>
    <sheetView topLeftCell="O1" workbookViewId="0">
      <selection activeCell="O6" sqref="O6"/>
    </sheetView>
  </sheetViews>
  <sheetFormatPr defaultColWidth="8.85546875" defaultRowHeight="20.25" customHeight="1" x14ac:dyDescent="0.2"/>
  <cols>
    <col min="1" max="1" width="32.7109375" style="82" customWidth="1"/>
    <col min="2" max="2" width="25.42578125" style="59" customWidth="1"/>
    <col min="3" max="3" width="26.7109375" style="59" customWidth="1"/>
    <col min="4" max="4" width="14.7109375" style="59" customWidth="1"/>
    <col min="5" max="5" width="15.140625" style="59" customWidth="1"/>
    <col min="6" max="6" width="21.42578125" style="59" customWidth="1"/>
    <col min="7" max="7" width="15" style="59" customWidth="1"/>
    <col min="8" max="8" width="12.42578125" style="59" customWidth="1"/>
    <col min="9" max="9" width="11" style="59" customWidth="1"/>
    <col min="10" max="10" width="13.42578125" style="58" customWidth="1"/>
  </cols>
  <sheetData>
    <row r="1" spans="1:10" ht="20.25" customHeight="1" x14ac:dyDescent="0.2">
      <c r="A1" s="86" t="s">
        <v>1000</v>
      </c>
      <c r="B1" s="86" t="s">
        <v>1001</v>
      </c>
      <c r="C1" s="86" t="s">
        <v>303</v>
      </c>
      <c r="D1" s="86" t="s">
        <v>1002</v>
      </c>
      <c r="E1" s="86" t="s">
        <v>1003</v>
      </c>
      <c r="F1" s="86" t="s">
        <v>1004</v>
      </c>
      <c r="G1" s="86" t="s">
        <v>1005</v>
      </c>
      <c r="H1" s="87" t="s">
        <v>1006</v>
      </c>
      <c r="I1" s="86" t="s">
        <v>1007</v>
      </c>
      <c r="J1" s="103" t="s">
        <v>1008</v>
      </c>
    </row>
    <row r="2" spans="1:10" ht="20.25" customHeight="1" x14ac:dyDescent="0.2">
      <c r="A2" s="93" t="s">
        <v>1009</v>
      </c>
      <c r="B2" s="51" t="s">
        <v>1010</v>
      </c>
      <c r="C2" s="51" t="s">
        <v>1011</v>
      </c>
      <c r="D2" s="51" t="s">
        <v>1012</v>
      </c>
      <c r="E2" s="51" t="s">
        <v>1013</v>
      </c>
      <c r="F2" s="51" t="e">
        <f>VLOOKUP(E2,[1]CodeMap!$A$1:$B$8,2,FALSE)</f>
        <v>#N/A</v>
      </c>
      <c r="G2" s="51" t="s">
        <v>1014</v>
      </c>
      <c r="H2" s="90">
        <v>42653</v>
      </c>
      <c r="I2" s="100" t="s">
        <v>1015</v>
      </c>
      <c r="J2" s="54"/>
    </row>
    <row r="3" spans="1:10" ht="20.25" customHeight="1" x14ac:dyDescent="0.2">
      <c r="A3" s="93" t="s">
        <v>1016</v>
      </c>
      <c r="B3" s="51" t="s">
        <v>1017</v>
      </c>
      <c r="C3" s="51" t="s">
        <v>1018</v>
      </c>
      <c r="D3" s="51" t="s">
        <v>1019</v>
      </c>
      <c r="E3" s="51" t="s">
        <v>1013</v>
      </c>
      <c r="F3" s="51" t="e">
        <f>VLOOKUP(E3,[1]CodeMap!$A$1:$B$8,2,FALSE)</f>
        <v>#N/A</v>
      </c>
      <c r="G3" s="51" t="s">
        <v>1020</v>
      </c>
      <c r="H3" s="90">
        <v>42753</v>
      </c>
      <c r="I3" s="100" t="s">
        <v>1015</v>
      </c>
      <c r="J3" s="54"/>
    </row>
    <row r="4" spans="1:10" ht="20.25" customHeight="1" x14ac:dyDescent="0.2">
      <c r="A4" s="93" t="s">
        <v>615</v>
      </c>
      <c r="B4" s="51" t="s">
        <v>1017</v>
      </c>
      <c r="C4" s="51" t="s">
        <v>1018</v>
      </c>
      <c r="D4" s="51" t="s">
        <v>1019</v>
      </c>
      <c r="E4" s="51" t="s">
        <v>1013</v>
      </c>
      <c r="F4" s="51" t="e">
        <f>VLOOKUP(E4,[1]CodeMap!$A$1:$B$8,2,FALSE)</f>
        <v>#N/A</v>
      </c>
      <c r="G4" s="51" t="s">
        <v>1020</v>
      </c>
      <c r="H4" s="90">
        <v>42753</v>
      </c>
      <c r="I4" s="100" t="s">
        <v>1015</v>
      </c>
      <c r="J4" s="54"/>
    </row>
    <row r="5" spans="1:10" ht="20.25" customHeight="1" x14ac:dyDescent="0.2">
      <c r="A5" s="93" t="s">
        <v>1021</v>
      </c>
      <c r="B5" s="51" t="s">
        <v>1022</v>
      </c>
      <c r="C5" s="51" t="s">
        <v>1023</v>
      </c>
      <c r="D5" s="51" t="s">
        <v>1024</v>
      </c>
      <c r="E5" s="51" t="s">
        <v>1025</v>
      </c>
      <c r="F5" s="51" t="e">
        <f>VLOOKUP(E5,[1]CodeMap!$A$1:$B$8,2,FALSE)</f>
        <v>#N/A</v>
      </c>
      <c r="G5" s="51" t="s">
        <v>1026</v>
      </c>
      <c r="H5" s="90">
        <v>42809</v>
      </c>
      <c r="I5" s="100" t="s">
        <v>1015</v>
      </c>
      <c r="J5" s="54"/>
    </row>
    <row r="6" spans="1:10" ht="20.25" customHeight="1" x14ac:dyDescent="0.2">
      <c r="A6" s="93" t="s">
        <v>1027</v>
      </c>
      <c r="B6" s="51" t="s">
        <v>1028</v>
      </c>
      <c r="C6" s="51" t="s">
        <v>1029</v>
      </c>
      <c r="D6" s="51" t="s">
        <v>1030</v>
      </c>
      <c r="E6" s="51" t="s">
        <v>1013</v>
      </c>
      <c r="F6" s="51" t="e">
        <f>VLOOKUP(E6,[1]CodeMap!$A$1:$B$8,2,FALSE)</f>
        <v>#N/A</v>
      </c>
      <c r="G6" s="51" t="s">
        <v>1020</v>
      </c>
      <c r="H6" s="90">
        <v>42842</v>
      </c>
      <c r="I6" s="100" t="s">
        <v>1015</v>
      </c>
      <c r="J6" s="54"/>
    </row>
    <row r="7" spans="1:10" ht="20.25" customHeight="1" x14ac:dyDescent="0.2">
      <c r="A7" s="93" t="s">
        <v>1031</v>
      </c>
      <c r="B7" s="51" t="s">
        <v>1017</v>
      </c>
      <c r="C7" s="51" t="s">
        <v>1018</v>
      </c>
      <c r="D7" s="51" t="s">
        <v>1019</v>
      </c>
      <c r="E7" s="51" t="s">
        <v>1013</v>
      </c>
      <c r="F7" s="51" t="e">
        <f>VLOOKUP(E7,[1]CodeMap!$A$1:$B$8,2,FALSE)</f>
        <v>#N/A</v>
      </c>
      <c r="G7" s="51" t="s">
        <v>1020</v>
      </c>
      <c r="H7" s="90">
        <v>43139</v>
      </c>
      <c r="I7" s="100" t="s">
        <v>1015</v>
      </c>
      <c r="J7" s="54"/>
    </row>
    <row r="8" spans="1:10" ht="20.25" customHeight="1" x14ac:dyDescent="0.2">
      <c r="A8" s="93" t="s">
        <v>1032</v>
      </c>
      <c r="B8" s="51" t="s">
        <v>1033</v>
      </c>
      <c r="C8" s="51" t="s">
        <v>1011</v>
      </c>
      <c r="D8" s="51" t="s">
        <v>1034</v>
      </c>
      <c r="E8" s="51" t="s">
        <v>1013</v>
      </c>
      <c r="F8" s="51" t="e">
        <f>VLOOKUP(E8,[1]CodeMap!$A$1:$B$8,2,FALSE)</f>
        <v>#N/A</v>
      </c>
      <c r="G8" s="51" t="s">
        <v>1014</v>
      </c>
      <c r="H8" s="90">
        <v>43237</v>
      </c>
      <c r="I8" s="100" t="s">
        <v>1015</v>
      </c>
      <c r="J8" s="54"/>
    </row>
    <row r="9" spans="1:10" ht="20.25" customHeight="1" x14ac:dyDescent="0.2">
      <c r="A9" s="93" t="s">
        <v>1035</v>
      </c>
      <c r="B9" s="51" t="s">
        <v>1017</v>
      </c>
      <c r="C9" s="51" t="s">
        <v>1029</v>
      </c>
      <c r="D9" s="51" t="s">
        <v>1030</v>
      </c>
      <c r="E9" s="51" t="s">
        <v>1013</v>
      </c>
      <c r="F9" s="51" t="e">
        <f>VLOOKUP(E9,[1]CodeMap!$A$1:$B$8,2,FALSE)</f>
        <v>#N/A</v>
      </c>
      <c r="G9" s="51" t="s">
        <v>1020</v>
      </c>
      <c r="H9" s="90">
        <v>43327</v>
      </c>
      <c r="I9" s="100" t="s">
        <v>1015</v>
      </c>
      <c r="J9" s="54"/>
    </row>
    <row r="10" spans="1:10" ht="20.25" customHeight="1" x14ac:dyDescent="0.2">
      <c r="A10" s="93" t="s">
        <v>1036</v>
      </c>
      <c r="B10" s="51" t="s">
        <v>1028</v>
      </c>
      <c r="C10" s="51" t="s">
        <v>1029</v>
      </c>
      <c r="D10" s="51" t="s">
        <v>1030</v>
      </c>
      <c r="E10" s="51" t="s">
        <v>1013</v>
      </c>
      <c r="F10" s="51" t="e">
        <f>VLOOKUP(E10,[1]CodeMap!$A$1:$B$8,2,FALSE)</f>
        <v>#N/A</v>
      </c>
      <c r="G10" s="51" t="s">
        <v>1020</v>
      </c>
      <c r="H10" s="90">
        <v>43388</v>
      </c>
      <c r="I10" s="100" t="s">
        <v>1015</v>
      </c>
      <c r="J10" s="54"/>
    </row>
    <row r="11" spans="1:10" ht="20.25" customHeight="1" x14ac:dyDescent="0.2">
      <c r="A11" s="93" t="s">
        <v>1037</v>
      </c>
      <c r="B11" s="51" t="s">
        <v>1022</v>
      </c>
      <c r="C11" s="51" t="s">
        <v>1038</v>
      </c>
      <c r="D11" s="51" t="s">
        <v>1024</v>
      </c>
      <c r="E11" s="51" t="s">
        <v>1039</v>
      </c>
      <c r="F11" s="51" t="e">
        <f>VLOOKUP(E11,[1]CodeMap!$A$1:$B$8,2,FALSE)</f>
        <v>#N/A</v>
      </c>
      <c r="G11" s="51" t="s">
        <v>1040</v>
      </c>
      <c r="H11" s="90">
        <v>43417</v>
      </c>
      <c r="I11" s="100" t="s">
        <v>1015</v>
      </c>
      <c r="J11" s="54"/>
    </row>
    <row r="12" spans="1:10" ht="20.25" customHeight="1" x14ac:dyDescent="0.2">
      <c r="A12" s="93" t="s">
        <v>1041</v>
      </c>
      <c r="B12" s="51" t="s">
        <v>1028</v>
      </c>
      <c r="C12" s="51" t="s">
        <v>1042</v>
      </c>
      <c r="D12" s="51" t="s">
        <v>1030</v>
      </c>
      <c r="E12" s="51" t="s">
        <v>1013</v>
      </c>
      <c r="F12" s="51" t="e">
        <f>VLOOKUP(E12,[1]CodeMap!$A$1:$B$8,2,FALSE)</f>
        <v>#N/A</v>
      </c>
      <c r="G12" s="51" t="s">
        <v>1020</v>
      </c>
      <c r="H12" s="90">
        <v>43460</v>
      </c>
      <c r="I12" s="100" t="s">
        <v>1015</v>
      </c>
      <c r="J12" s="54"/>
    </row>
    <row r="13" spans="1:10" ht="20.25" customHeight="1" x14ac:dyDescent="0.2">
      <c r="A13" s="93" t="s">
        <v>1043</v>
      </c>
      <c r="B13" s="51" t="s">
        <v>1022</v>
      </c>
      <c r="C13" s="51" t="s">
        <v>1044</v>
      </c>
      <c r="D13" s="51" t="s">
        <v>1024</v>
      </c>
      <c r="E13" s="51" t="s">
        <v>1025</v>
      </c>
      <c r="F13" s="51" t="e">
        <f>VLOOKUP(E13,[1]CodeMap!$A$1:$B$8,2,FALSE)</f>
        <v>#N/A</v>
      </c>
      <c r="G13" s="51" t="s">
        <v>1026</v>
      </c>
      <c r="H13" s="90">
        <v>43472</v>
      </c>
      <c r="I13" s="100" t="s">
        <v>1015</v>
      </c>
      <c r="J13" s="54"/>
    </row>
    <row r="14" spans="1:10" ht="20.25" customHeight="1" x14ac:dyDescent="0.2">
      <c r="A14" s="93" t="s">
        <v>1045</v>
      </c>
      <c r="B14" s="51" t="s">
        <v>1046</v>
      </c>
      <c r="C14" s="51" t="s">
        <v>542</v>
      </c>
      <c r="D14" s="51" t="s">
        <v>1047</v>
      </c>
      <c r="E14" s="51" t="s">
        <v>542</v>
      </c>
      <c r="F14" s="51" t="e">
        <f>VLOOKUP(E14,[1]CodeMap!$A$1:$B$8,2,FALSE)</f>
        <v>#N/A</v>
      </c>
      <c r="G14" s="51" t="s">
        <v>1048</v>
      </c>
      <c r="H14" s="90">
        <v>43586</v>
      </c>
      <c r="I14" s="100" t="s">
        <v>1049</v>
      </c>
      <c r="J14" s="54"/>
    </row>
    <row r="15" spans="1:10" ht="20.25" customHeight="1" x14ac:dyDescent="0.2">
      <c r="A15" s="93" t="s">
        <v>1050</v>
      </c>
      <c r="B15" s="51" t="s">
        <v>1022</v>
      </c>
      <c r="C15" s="51" t="s">
        <v>1023</v>
      </c>
      <c r="D15" s="51" t="s">
        <v>1024</v>
      </c>
      <c r="E15" s="51" t="s">
        <v>1051</v>
      </c>
      <c r="F15" s="51" t="e">
        <f>VLOOKUP(E15,[1]CodeMap!$A$1:$B$8,2,FALSE)</f>
        <v>#N/A</v>
      </c>
      <c r="G15" s="51" t="s">
        <v>1026</v>
      </c>
      <c r="H15" s="90">
        <v>43598</v>
      </c>
      <c r="I15" s="100" t="s">
        <v>1015</v>
      </c>
      <c r="J15" s="54"/>
    </row>
    <row r="16" spans="1:10" ht="20.25" customHeight="1" x14ac:dyDescent="0.2">
      <c r="A16" s="93" t="s">
        <v>1052</v>
      </c>
      <c r="B16" s="51" t="s">
        <v>1017</v>
      </c>
      <c r="C16" s="51" t="s">
        <v>1038</v>
      </c>
      <c r="D16" s="51" t="s">
        <v>1019</v>
      </c>
      <c r="E16" s="51" t="s">
        <v>1039</v>
      </c>
      <c r="F16" s="51" t="e">
        <f>VLOOKUP(E16,[1]CodeMap!$A$1:$B$8,2,FALSE)</f>
        <v>#N/A</v>
      </c>
      <c r="G16" s="51" t="s">
        <v>1040</v>
      </c>
      <c r="H16" s="90">
        <v>43633</v>
      </c>
      <c r="I16" s="100" t="s">
        <v>1015</v>
      </c>
      <c r="J16" s="54"/>
    </row>
    <row r="17" spans="1:10" ht="20.25" customHeight="1" x14ac:dyDescent="0.2">
      <c r="A17" s="93" t="s">
        <v>1053</v>
      </c>
      <c r="B17" s="51" t="s">
        <v>1054</v>
      </c>
      <c r="C17" s="51" t="s">
        <v>1055</v>
      </c>
      <c r="D17" s="51" t="s">
        <v>1056</v>
      </c>
      <c r="E17" s="51" t="s">
        <v>1013</v>
      </c>
      <c r="F17" s="51" t="e">
        <f>VLOOKUP(E17,[1]CodeMap!$A$1:$B$8,2,FALSE)</f>
        <v>#N/A</v>
      </c>
      <c r="G17" s="51" t="s">
        <v>1014</v>
      </c>
      <c r="H17" s="90">
        <v>43696</v>
      </c>
      <c r="I17" s="100" t="s">
        <v>1015</v>
      </c>
      <c r="J17" s="54"/>
    </row>
    <row r="18" spans="1:10" ht="20.25" customHeight="1" x14ac:dyDescent="0.2">
      <c r="A18" s="93" t="s">
        <v>1057</v>
      </c>
      <c r="B18" s="51" t="s">
        <v>1017</v>
      </c>
      <c r="C18" s="51" t="s">
        <v>1018</v>
      </c>
      <c r="D18" s="51" t="s">
        <v>1019</v>
      </c>
      <c r="E18" s="51" t="s">
        <v>1013</v>
      </c>
      <c r="F18" s="51" t="e">
        <f>VLOOKUP(E18,[1]CodeMap!$A$1:$B$8,2,FALSE)</f>
        <v>#N/A</v>
      </c>
      <c r="G18" s="51" t="s">
        <v>1020</v>
      </c>
      <c r="H18" s="90">
        <v>43753</v>
      </c>
      <c r="I18" s="100" t="s">
        <v>1015</v>
      </c>
      <c r="J18" s="54"/>
    </row>
    <row r="19" spans="1:10" ht="20.25" customHeight="1" x14ac:dyDescent="0.2">
      <c r="A19" s="93" t="s">
        <v>1058</v>
      </c>
      <c r="B19" s="51" t="s">
        <v>1059</v>
      </c>
      <c r="C19" s="51" t="s">
        <v>542</v>
      </c>
      <c r="D19" s="51" t="s">
        <v>1060</v>
      </c>
      <c r="E19" s="51" t="s">
        <v>542</v>
      </c>
      <c r="F19" s="51" t="e">
        <f>VLOOKUP(E19,[1]CodeMap!$A$1:$B$8,2,FALSE)</f>
        <v>#N/A</v>
      </c>
      <c r="G19" s="51" t="s">
        <v>1061</v>
      </c>
      <c r="H19" s="90">
        <v>43832</v>
      </c>
      <c r="I19" s="100" t="s">
        <v>1015</v>
      </c>
      <c r="J19" s="54"/>
    </row>
    <row r="20" spans="1:10" ht="20.25" customHeight="1" x14ac:dyDescent="0.2">
      <c r="A20" s="93" t="s">
        <v>1062</v>
      </c>
      <c r="B20" s="51" t="s">
        <v>1063</v>
      </c>
      <c r="C20" s="51" t="s">
        <v>1064</v>
      </c>
      <c r="D20" s="51" t="s">
        <v>1065</v>
      </c>
      <c r="E20" s="51" t="s">
        <v>1025</v>
      </c>
      <c r="F20" s="51" t="e">
        <f>VLOOKUP(E20,[1]CodeMap!$A$1:$B$8,2,FALSE)</f>
        <v>#N/A</v>
      </c>
      <c r="G20" s="51" t="s">
        <v>1066</v>
      </c>
      <c r="H20" s="90">
        <v>43859</v>
      </c>
      <c r="I20" s="100" t="s">
        <v>1015</v>
      </c>
      <c r="J20" s="54"/>
    </row>
    <row r="21" spans="1:10" ht="20.25" customHeight="1" x14ac:dyDescent="0.2">
      <c r="A21" s="93" t="s">
        <v>1067</v>
      </c>
      <c r="B21" s="51" t="s">
        <v>1022</v>
      </c>
      <c r="C21" s="51" t="s">
        <v>67</v>
      </c>
      <c r="D21" s="51" t="s">
        <v>1024</v>
      </c>
      <c r="E21" s="51" t="s">
        <v>1051</v>
      </c>
      <c r="F21" s="51" t="e">
        <f>VLOOKUP(E21,[1]CodeMap!$A$1:$B$8,2,FALSE)</f>
        <v>#N/A</v>
      </c>
      <c r="G21" s="51" t="s">
        <v>1040</v>
      </c>
      <c r="H21" s="90">
        <v>43871</v>
      </c>
      <c r="I21" s="100" t="s">
        <v>1068</v>
      </c>
      <c r="J21" s="54"/>
    </row>
    <row r="22" spans="1:10" ht="20.25" customHeight="1" x14ac:dyDescent="0.2">
      <c r="A22" s="93" t="s">
        <v>1069</v>
      </c>
      <c r="B22" s="51" t="s">
        <v>1070</v>
      </c>
      <c r="C22" s="51" t="s">
        <v>1018</v>
      </c>
      <c r="D22" s="51" t="s">
        <v>1071</v>
      </c>
      <c r="E22" s="51" t="s">
        <v>1013</v>
      </c>
      <c r="F22" s="51" t="e">
        <f>VLOOKUP(E22,[1]CodeMap!$A$1:$B$8,2,FALSE)</f>
        <v>#N/A</v>
      </c>
      <c r="G22" s="51" t="s">
        <v>1020</v>
      </c>
      <c r="H22" s="90">
        <v>43936</v>
      </c>
      <c r="I22" s="100" t="s">
        <v>1015</v>
      </c>
      <c r="J22" s="54"/>
    </row>
    <row r="23" spans="1:10" ht="20.25" customHeight="1" x14ac:dyDescent="0.2">
      <c r="A23" s="93" t="s">
        <v>1072</v>
      </c>
      <c r="B23" s="51" t="s">
        <v>1022</v>
      </c>
      <c r="C23" s="51" t="s">
        <v>67</v>
      </c>
      <c r="D23" s="51" t="s">
        <v>1024</v>
      </c>
      <c r="E23" s="51" t="s">
        <v>1051</v>
      </c>
      <c r="F23" s="51" t="e">
        <f>VLOOKUP(E23,[1]CodeMap!$A$1:$B$8,2,FALSE)</f>
        <v>#N/A</v>
      </c>
      <c r="G23" s="51" t="s">
        <v>1040</v>
      </c>
      <c r="H23" s="90">
        <v>43993</v>
      </c>
      <c r="I23" s="100" t="s">
        <v>1015</v>
      </c>
      <c r="J23" s="54"/>
    </row>
    <row r="24" spans="1:10" ht="20.25" customHeight="1" x14ac:dyDescent="0.2">
      <c r="A24" s="93" t="s">
        <v>1073</v>
      </c>
      <c r="B24" s="51" t="s">
        <v>1017</v>
      </c>
      <c r="C24" s="51" t="s">
        <v>543</v>
      </c>
      <c r="D24" s="51" t="s">
        <v>1019</v>
      </c>
      <c r="E24" s="51" t="s">
        <v>1025</v>
      </c>
      <c r="F24" s="51" t="e">
        <f>VLOOKUP(E24,[1]CodeMap!$A$1:$B$8,2,FALSE)</f>
        <v>#N/A</v>
      </c>
      <c r="G24" s="51" t="s">
        <v>1074</v>
      </c>
      <c r="H24" s="88">
        <v>44102</v>
      </c>
      <c r="I24" s="100" t="s">
        <v>1015</v>
      </c>
      <c r="J24" s="54"/>
    </row>
    <row r="25" spans="1:10" ht="20.25" customHeight="1" x14ac:dyDescent="0.2">
      <c r="A25" s="93" t="s">
        <v>1075</v>
      </c>
      <c r="B25" s="51" t="s">
        <v>1022</v>
      </c>
      <c r="C25" s="51" t="s">
        <v>1023</v>
      </c>
      <c r="D25" s="51" t="s">
        <v>1024</v>
      </c>
      <c r="E25" s="51" t="s">
        <v>1025</v>
      </c>
      <c r="F25" s="51" t="e">
        <f>VLOOKUP(E25,[1]CodeMap!$A$1:$B$8,2,FALSE)</f>
        <v>#N/A</v>
      </c>
      <c r="G25" s="51" t="s">
        <v>1026</v>
      </c>
      <c r="H25" s="88">
        <v>44102</v>
      </c>
      <c r="I25" s="100" t="s">
        <v>1015</v>
      </c>
      <c r="J25" s="54"/>
    </row>
    <row r="26" spans="1:10" ht="20.25" customHeight="1" x14ac:dyDescent="0.2">
      <c r="A26" s="93" t="s">
        <v>1076</v>
      </c>
      <c r="B26" s="51" t="s">
        <v>1017</v>
      </c>
      <c r="C26" s="51" t="s">
        <v>1077</v>
      </c>
      <c r="D26" s="51" t="s">
        <v>1019</v>
      </c>
      <c r="E26" s="51" t="s">
        <v>1078</v>
      </c>
      <c r="F26" s="51" t="e">
        <f>VLOOKUP(E26,[1]CodeMap!$A$1:$B$8,2,FALSE)</f>
        <v>#N/A</v>
      </c>
      <c r="G26" s="51" t="s">
        <v>1040</v>
      </c>
      <c r="H26" s="88">
        <v>44117</v>
      </c>
      <c r="I26" s="100" t="s">
        <v>1015</v>
      </c>
      <c r="J26" s="54"/>
    </row>
    <row r="27" spans="1:10" ht="20.25" customHeight="1" x14ac:dyDescent="0.2">
      <c r="A27" s="93" t="s">
        <v>1079</v>
      </c>
      <c r="B27" s="51" t="s">
        <v>1080</v>
      </c>
      <c r="C27" s="51" t="s">
        <v>1081</v>
      </c>
      <c r="D27" s="51" t="s">
        <v>1082</v>
      </c>
      <c r="E27" s="51" t="s">
        <v>1083</v>
      </c>
      <c r="F27" s="51" t="e">
        <f>VLOOKUP(E27,[1]CodeMap!$A$1:$B$8,2,FALSE)</f>
        <v>#N/A</v>
      </c>
      <c r="G27" s="51" t="s">
        <v>1084</v>
      </c>
      <c r="H27" s="88">
        <v>44146</v>
      </c>
      <c r="I27" s="100" t="s">
        <v>1085</v>
      </c>
      <c r="J27" s="54"/>
    </row>
    <row r="28" spans="1:10" ht="20.25" customHeight="1" x14ac:dyDescent="0.2">
      <c r="A28" s="93" t="s">
        <v>1086</v>
      </c>
      <c r="B28" s="51" t="s">
        <v>1087</v>
      </c>
      <c r="C28" s="51" t="s">
        <v>1088</v>
      </c>
      <c r="D28" s="51" t="s">
        <v>1089</v>
      </c>
      <c r="E28" s="51" t="s">
        <v>1025</v>
      </c>
      <c r="F28" s="51" t="e">
        <f>VLOOKUP(E28,[1]CodeMap!$A$1:$B$8,2,FALSE)</f>
        <v>#N/A</v>
      </c>
      <c r="G28" s="51" t="s">
        <v>28</v>
      </c>
      <c r="H28" s="88">
        <v>44152</v>
      </c>
      <c r="I28" s="100" t="s">
        <v>1015</v>
      </c>
      <c r="J28" s="54"/>
    </row>
    <row r="29" spans="1:10" ht="20.25" customHeight="1" x14ac:dyDescent="0.2">
      <c r="A29" s="93" t="s">
        <v>1090</v>
      </c>
      <c r="B29" s="51" t="s">
        <v>1017</v>
      </c>
      <c r="C29" s="51" t="s">
        <v>1038</v>
      </c>
      <c r="D29" s="51" t="s">
        <v>1019</v>
      </c>
      <c r="E29" s="51" t="s">
        <v>1039</v>
      </c>
      <c r="F29" s="51" t="e">
        <f>VLOOKUP(E29,[1]CodeMap!$A$1:$B$8,2,FALSE)</f>
        <v>#N/A</v>
      </c>
      <c r="G29" s="51" t="s">
        <v>1040</v>
      </c>
      <c r="H29" s="88">
        <v>44153</v>
      </c>
      <c r="I29" s="100" t="s">
        <v>1015</v>
      </c>
      <c r="J29" s="54"/>
    </row>
    <row r="30" spans="1:10" ht="20.25" customHeight="1" x14ac:dyDescent="0.2">
      <c r="A30" s="93" t="s">
        <v>1091</v>
      </c>
      <c r="B30" s="51" t="s">
        <v>1080</v>
      </c>
      <c r="C30" s="51" t="s">
        <v>1081</v>
      </c>
      <c r="D30" s="51" t="s">
        <v>1082</v>
      </c>
      <c r="E30" s="51" t="s">
        <v>1083</v>
      </c>
      <c r="F30" s="51" t="e">
        <f>VLOOKUP(E30,[1]CodeMap!$A$1:$B$8,2,FALSE)</f>
        <v>#N/A</v>
      </c>
      <c r="G30" s="51" t="s">
        <v>1084</v>
      </c>
      <c r="H30" s="88">
        <v>44186</v>
      </c>
      <c r="I30" s="100" t="s">
        <v>1015</v>
      </c>
      <c r="J30" s="54"/>
    </row>
    <row r="31" spans="1:10" ht="20.25" customHeight="1" x14ac:dyDescent="0.2">
      <c r="A31" s="93" t="s">
        <v>1092</v>
      </c>
      <c r="B31" s="51" t="s">
        <v>1022</v>
      </c>
      <c r="C31" s="51" t="s">
        <v>1093</v>
      </c>
      <c r="D31" s="51" t="s">
        <v>1024</v>
      </c>
      <c r="E31" s="51" t="s">
        <v>1078</v>
      </c>
      <c r="F31" s="51" t="e">
        <f>VLOOKUP(E31,[1]CodeMap!$A$1:$B$8,2,FALSE)</f>
        <v>#N/A</v>
      </c>
      <c r="G31" s="51" t="s">
        <v>1040</v>
      </c>
      <c r="H31" s="88">
        <v>44214</v>
      </c>
      <c r="I31" s="100" t="s">
        <v>1015</v>
      </c>
      <c r="J31" s="54"/>
    </row>
    <row r="32" spans="1:10" ht="20.25" customHeight="1" x14ac:dyDescent="0.2">
      <c r="A32" s="93" t="s">
        <v>1094</v>
      </c>
      <c r="B32" s="51" t="s">
        <v>1095</v>
      </c>
      <c r="C32" s="51" t="s">
        <v>1018</v>
      </c>
      <c r="D32" s="51" t="s">
        <v>1019</v>
      </c>
      <c r="E32" s="51" t="s">
        <v>1013</v>
      </c>
      <c r="F32" s="51" t="e">
        <f>VLOOKUP(E32,[1]CodeMap!$A$1:$B$8,2,FALSE)</f>
        <v>#N/A</v>
      </c>
      <c r="G32" s="51" t="s">
        <v>1020</v>
      </c>
      <c r="H32" s="88">
        <v>44221</v>
      </c>
      <c r="I32" s="100" t="s">
        <v>1015</v>
      </c>
      <c r="J32" s="54"/>
    </row>
    <row r="33" spans="1:10" ht="20.25" customHeight="1" x14ac:dyDescent="0.2">
      <c r="A33" s="93" t="s">
        <v>1096</v>
      </c>
      <c r="B33" s="51" t="s">
        <v>1017</v>
      </c>
      <c r="C33" s="51" t="s">
        <v>1097</v>
      </c>
      <c r="D33" s="51" t="s">
        <v>1019</v>
      </c>
      <c r="E33" s="51" t="s">
        <v>1025</v>
      </c>
      <c r="F33" s="51" t="e">
        <f>VLOOKUP(E33,[1]CodeMap!$A$1:$B$8,2,FALSE)</f>
        <v>#N/A</v>
      </c>
      <c r="G33" s="51" t="s">
        <v>1098</v>
      </c>
      <c r="H33" s="88">
        <v>44221</v>
      </c>
      <c r="I33" s="100" t="s">
        <v>1015</v>
      </c>
      <c r="J33" s="54"/>
    </row>
    <row r="34" spans="1:10" ht="20.25" customHeight="1" x14ac:dyDescent="0.2">
      <c r="A34" s="93" t="s">
        <v>1099</v>
      </c>
      <c r="B34" s="51" t="s">
        <v>1022</v>
      </c>
      <c r="C34" s="51" t="s">
        <v>1023</v>
      </c>
      <c r="D34" s="51" t="s">
        <v>1100</v>
      </c>
      <c r="E34" s="51" t="s">
        <v>1025</v>
      </c>
      <c r="F34" s="51" t="e">
        <f>VLOOKUP(E34,[1]CodeMap!$A$1:$B$8,2,FALSE)</f>
        <v>#N/A</v>
      </c>
      <c r="G34" s="51" t="s">
        <v>1026</v>
      </c>
      <c r="H34" s="88">
        <v>44236</v>
      </c>
      <c r="I34" s="100" t="s">
        <v>1015</v>
      </c>
      <c r="J34" s="54"/>
    </row>
    <row r="35" spans="1:10" ht="20.25" customHeight="1" x14ac:dyDescent="0.2">
      <c r="A35" s="93" t="s">
        <v>1101</v>
      </c>
      <c r="B35" s="51" t="s">
        <v>1022</v>
      </c>
      <c r="C35" s="51" t="s">
        <v>543</v>
      </c>
      <c r="D35" s="51" t="s">
        <v>1024</v>
      </c>
      <c r="E35" s="51" t="s">
        <v>1025</v>
      </c>
      <c r="F35" s="51" t="e">
        <f>VLOOKUP(E35,[1]CodeMap!$A$1:$B$8,2,FALSE)</f>
        <v>#N/A</v>
      </c>
      <c r="G35" s="51" t="s">
        <v>1074</v>
      </c>
      <c r="H35" s="88">
        <v>44249</v>
      </c>
      <c r="I35" s="100" t="s">
        <v>1015</v>
      </c>
      <c r="J35" s="54"/>
    </row>
    <row r="36" spans="1:10" ht="20.25" customHeight="1" x14ac:dyDescent="0.2">
      <c r="A36" s="93" t="s">
        <v>1102</v>
      </c>
      <c r="B36" s="51" t="s">
        <v>1017</v>
      </c>
      <c r="C36" s="51" t="s">
        <v>1023</v>
      </c>
      <c r="D36" s="51" t="s">
        <v>1019</v>
      </c>
      <c r="E36" s="51" t="s">
        <v>1025</v>
      </c>
      <c r="F36" s="51" t="e">
        <f>VLOOKUP(E36,[1]CodeMap!$A$1:$B$8,2,FALSE)</f>
        <v>#N/A</v>
      </c>
      <c r="G36" s="51" t="s">
        <v>503</v>
      </c>
      <c r="H36" s="88">
        <v>44256</v>
      </c>
      <c r="I36" s="100" t="s">
        <v>1103</v>
      </c>
      <c r="J36" s="54"/>
    </row>
    <row r="37" spans="1:10" ht="20.25" customHeight="1" x14ac:dyDescent="0.2">
      <c r="A37" s="94" t="s">
        <v>1104</v>
      </c>
      <c r="B37" s="91" t="s">
        <v>1105</v>
      </c>
      <c r="C37" s="91" t="s">
        <v>1106</v>
      </c>
      <c r="D37" s="91" t="s">
        <v>1107</v>
      </c>
      <c r="E37" s="91" t="s">
        <v>1108</v>
      </c>
      <c r="F37" s="91" t="e">
        <f>VLOOKUP(E37,[1]CodeMap!$A$1:$B$8,2,FALSE)</f>
        <v>#N/A</v>
      </c>
      <c r="G37" s="91" t="s">
        <v>1109</v>
      </c>
      <c r="H37" s="92">
        <v>44278</v>
      </c>
      <c r="I37" s="101" t="s">
        <v>1015</v>
      </c>
      <c r="J37" s="54"/>
    </row>
    <row r="38" spans="1:10" ht="20.25" customHeight="1" x14ac:dyDescent="0.2">
      <c r="A38" s="93" t="s">
        <v>1110</v>
      </c>
      <c r="B38" s="51" t="s">
        <v>1017</v>
      </c>
      <c r="C38" s="51" t="s">
        <v>1077</v>
      </c>
      <c r="D38" s="51" t="s">
        <v>1019</v>
      </c>
      <c r="E38" s="51" t="s">
        <v>1078</v>
      </c>
      <c r="F38" s="51" t="e">
        <f>VLOOKUP(E38,[1]CodeMap!$A$1:$B$8,2,FALSE)</f>
        <v>#N/A</v>
      </c>
      <c r="G38" s="51" t="s">
        <v>1040</v>
      </c>
      <c r="H38" s="88" t="s">
        <v>259</v>
      </c>
      <c r="I38" s="100" t="s">
        <v>1015</v>
      </c>
      <c r="J38" s="54"/>
    </row>
    <row r="39" spans="1:10" ht="20.25" customHeight="1" x14ac:dyDescent="0.2">
      <c r="A39" s="93" t="s">
        <v>1111</v>
      </c>
      <c r="B39" s="51" t="s">
        <v>1028</v>
      </c>
      <c r="C39" s="51" t="s">
        <v>1042</v>
      </c>
      <c r="D39" s="51" t="s">
        <v>1030</v>
      </c>
      <c r="E39" s="51" t="s">
        <v>1013</v>
      </c>
      <c r="F39" s="51" t="e">
        <f>VLOOKUP(E39,[1]CodeMap!$A$1:$B$8,2,FALSE)</f>
        <v>#N/A</v>
      </c>
      <c r="G39" s="51" t="s">
        <v>1020</v>
      </c>
      <c r="H39" s="90"/>
      <c r="I39" s="100" t="s">
        <v>1015</v>
      </c>
      <c r="J39" s="54"/>
    </row>
    <row r="40" spans="1:10" ht="20.25" customHeight="1" x14ac:dyDescent="0.2">
      <c r="A40" s="95" t="s">
        <v>1112</v>
      </c>
      <c r="B40" s="51"/>
      <c r="C40" s="51"/>
      <c r="D40" s="51"/>
      <c r="E40" s="51"/>
      <c r="F40" s="51"/>
      <c r="G40" s="51" t="s">
        <v>1026</v>
      </c>
      <c r="H40" s="51"/>
      <c r="I40" s="102"/>
      <c r="J40" s="104" t="s">
        <v>1113</v>
      </c>
    </row>
    <row r="41" spans="1:10" ht="20.25" customHeight="1" x14ac:dyDescent="0.2">
      <c r="A41" s="95" t="s">
        <v>1114</v>
      </c>
      <c r="B41" s="51" t="s">
        <v>1017</v>
      </c>
      <c r="C41" s="51" t="s">
        <v>1023</v>
      </c>
      <c r="D41" s="51" t="s">
        <v>1019</v>
      </c>
      <c r="E41" s="51" t="s">
        <v>1025</v>
      </c>
      <c r="F41" s="51" t="s">
        <v>1115</v>
      </c>
      <c r="G41" s="51" t="s">
        <v>503</v>
      </c>
      <c r="H41" s="51"/>
      <c r="I41" s="100" t="s">
        <v>94</v>
      </c>
      <c r="J41" s="54" t="s">
        <v>1116</v>
      </c>
    </row>
    <row r="42" spans="1:10" ht="20.25" customHeight="1" x14ac:dyDescent="0.2">
      <c r="A42" s="95" t="s">
        <v>1117</v>
      </c>
      <c r="B42" s="51" t="s">
        <v>1017</v>
      </c>
      <c r="C42" s="51" t="s">
        <v>1097</v>
      </c>
      <c r="D42" s="51" t="s">
        <v>1019</v>
      </c>
      <c r="E42" s="51" t="s">
        <v>1025</v>
      </c>
      <c r="F42" s="51" t="e">
        <f>VLOOKUP(E42,[1]CodeMap!$A$1:$B$8,2,FALSE)</f>
        <v>#N/A</v>
      </c>
      <c r="G42" s="51" t="s">
        <v>1098</v>
      </c>
      <c r="H42" s="51"/>
      <c r="I42" s="100" t="s">
        <v>94</v>
      </c>
      <c r="J42" s="54" t="s">
        <v>1116</v>
      </c>
    </row>
    <row r="43" spans="1:10" ht="20.25" customHeight="1" x14ac:dyDescent="0.3">
      <c r="A43" s="95" t="s">
        <v>1118</v>
      </c>
      <c r="B43" s="51"/>
      <c r="C43" s="51"/>
      <c r="D43" s="51"/>
      <c r="E43" s="51"/>
      <c r="F43" s="51" t="s">
        <v>1115</v>
      </c>
      <c r="G43" s="51" t="s">
        <v>1014</v>
      </c>
      <c r="H43" s="51"/>
      <c r="I43" s="100" t="s">
        <v>94</v>
      </c>
      <c r="J43" s="107" t="s">
        <v>1119</v>
      </c>
    </row>
    <row r="44" spans="1:10" ht="20.25" customHeight="1" x14ac:dyDescent="0.3">
      <c r="A44" s="95" t="s">
        <v>623</v>
      </c>
      <c r="B44" s="51" t="s">
        <v>1095</v>
      </c>
      <c r="C44" s="51" t="s">
        <v>1120</v>
      </c>
      <c r="D44" s="51"/>
      <c r="E44" s="51"/>
      <c r="F44" s="51" t="s">
        <v>1115</v>
      </c>
      <c r="G44" s="51" t="s">
        <v>30</v>
      </c>
      <c r="H44" s="51"/>
      <c r="I44" s="100" t="s">
        <v>94</v>
      </c>
      <c r="J44" s="99" t="s">
        <v>1121</v>
      </c>
    </row>
    <row r="45" spans="1:10" ht="20.25" customHeight="1" x14ac:dyDescent="0.2">
      <c r="A45" s="96" t="s">
        <v>1122</v>
      </c>
      <c r="B45" s="91" t="s">
        <v>1017</v>
      </c>
      <c r="C45" s="91" t="s">
        <v>1123</v>
      </c>
      <c r="D45" s="91" t="s">
        <v>1019</v>
      </c>
      <c r="E45" s="91" t="s">
        <v>1051</v>
      </c>
      <c r="F45" s="91" t="s">
        <v>1115</v>
      </c>
      <c r="G45" s="91" t="s">
        <v>1040</v>
      </c>
      <c r="H45" s="91"/>
      <c r="I45" s="101" t="s">
        <v>94</v>
      </c>
      <c r="J45" s="54" t="s">
        <v>1116</v>
      </c>
    </row>
    <row r="46" spans="1:10" ht="20.25" customHeight="1" x14ac:dyDescent="0.2">
      <c r="A46" s="83" t="s">
        <v>1124</v>
      </c>
      <c r="B46" s="51" t="s">
        <v>128</v>
      </c>
      <c r="C46" s="51" t="s">
        <v>60</v>
      </c>
      <c r="D46" s="51" t="s">
        <v>128</v>
      </c>
      <c r="E46" s="51"/>
      <c r="F46" s="91" t="s">
        <v>1115</v>
      </c>
      <c r="G46" s="51" t="s">
        <v>1125</v>
      </c>
      <c r="H46" s="51"/>
      <c r="I46" s="100" t="s">
        <v>94</v>
      </c>
      <c r="J46" s="54" t="s">
        <v>1116</v>
      </c>
    </row>
    <row r="47" spans="1:10" ht="20.25" customHeight="1" x14ac:dyDescent="0.2">
      <c r="A47" s="83" t="s">
        <v>1126</v>
      </c>
      <c r="B47" s="51" t="s">
        <v>128</v>
      </c>
      <c r="C47" s="51" t="s">
        <v>60</v>
      </c>
      <c r="D47" s="51" t="s">
        <v>128</v>
      </c>
      <c r="E47" s="51"/>
      <c r="F47" s="91" t="s">
        <v>1115</v>
      </c>
      <c r="G47" s="51" t="s">
        <v>1125</v>
      </c>
      <c r="H47" s="51"/>
      <c r="I47" s="100" t="s">
        <v>94</v>
      </c>
      <c r="J47" s="54" t="s">
        <v>1116</v>
      </c>
    </row>
    <row r="48" spans="1:10" ht="20.25" customHeight="1" x14ac:dyDescent="0.2">
      <c r="A48" s="83" t="s">
        <v>1127</v>
      </c>
      <c r="B48" s="51" t="s">
        <v>128</v>
      </c>
      <c r="C48" s="51" t="s">
        <v>60</v>
      </c>
      <c r="D48" s="51" t="s">
        <v>128</v>
      </c>
      <c r="E48" s="51"/>
      <c r="F48" s="91" t="s">
        <v>1115</v>
      </c>
      <c r="G48" s="51" t="s">
        <v>1125</v>
      </c>
      <c r="H48" s="51"/>
      <c r="I48" s="100" t="s">
        <v>94</v>
      </c>
      <c r="J48" s="54" t="s">
        <v>1116</v>
      </c>
    </row>
    <row r="49" spans="1:10" ht="20.25" customHeight="1" x14ac:dyDescent="0.2">
      <c r="A49" s="83" t="s">
        <v>1128</v>
      </c>
      <c r="B49" s="51" t="s">
        <v>128</v>
      </c>
      <c r="C49" s="51" t="s">
        <v>60</v>
      </c>
      <c r="D49" s="51" t="s">
        <v>128</v>
      </c>
      <c r="E49" s="51"/>
      <c r="F49" s="91" t="s">
        <v>1115</v>
      </c>
      <c r="G49" s="51" t="s">
        <v>1125</v>
      </c>
      <c r="H49" s="51"/>
      <c r="I49" s="100" t="s">
        <v>94</v>
      </c>
      <c r="J49" s="54" t="s">
        <v>1116</v>
      </c>
    </row>
    <row r="50" spans="1:10" ht="20.25" customHeight="1" x14ac:dyDescent="0.2">
      <c r="A50" s="83" t="s">
        <v>1129</v>
      </c>
      <c r="B50" s="51" t="s">
        <v>128</v>
      </c>
      <c r="C50" s="51" t="s">
        <v>60</v>
      </c>
      <c r="D50" s="51" t="s">
        <v>128</v>
      </c>
      <c r="E50" s="51"/>
      <c r="F50" s="91" t="s">
        <v>1115</v>
      </c>
      <c r="G50" s="51" t="s">
        <v>1125</v>
      </c>
      <c r="H50" s="51"/>
      <c r="I50" s="100" t="s">
        <v>94</v>
      </c>
      <c r="J50" s="54" t="s">
        <v>1116</v>
      </c>
    </row>
    <row r="51" spans="1:10" ht="20.25" customHeight="1" x14ac:dyDescent="0.2">
      <c r="A51" s="83" t="s">
        <v>1130</v>
      </c>
      <c r="B51" s="51" t="s">
        <v>128</v>
      </c>
      <c r="C51" s="51" t="s">
        <v>490</v>
      </c>
      <c r="D51" s="51" t="s">
        <v>128</v>
      </c>
      <c r="E51" s="51"/>
      <c r="F51" s="91" t="s">
        <v>1115</v>
      </c>
      <c r="G51" s="51" t="s">
        <v>1125</v>
      </c>
      <c r="H51" s="51"/>
      <c r="I51" s="100" t="s">
        <v>94</v>
      </c>
      <c r="J51" s="54" t="s">
        <v>1116</v>
      </c>
    </row>
    <row r="52" spans="1:10" ht="20.25" customHeight="1" x14ac:dyDescent="0.2">
      <c r="A52" s="83" t="s">
        <v>1131</v>
      </c>
      <c r="B52" s="51" t="s">
        <v>128</v>
      </c>
      <c r="C52" s="51" t="s">
        <v>490</v>
      </c>
      <c r="D52" s="51" t="s">
        <v>128</v>
      </c>
      <c r="E52" s="51"/>
      <c r="F52" s="91" t="s">
        <v>1115</v>
      </c>
      <c r="G52" s="51" t="s">
        <v>1125</v>
      </c>
      <c r="H52" s="51"/>
      <c r="I52" s="100" t="s">
        <v>94</v>
      </c>
      <c r="J52" s="54" t="s">
        <v>1116</v>
      </c>
    </row>
    <row r="53" spans="1:10" ht="20.25" customHeight="1" x14ac:dyDescent="0.2">
      <c r="A53" s="83" t="s">
        <v>707</v>
      </c>
      <c r="B53" s="51" t="s">
        <v>128</v>
      </c>
      <c r="C53" s="51" t="s">
        <v>490</v>
      </c>
      <c r="D53" s="51" t="s">
        <v>128</v>
      </c>
      <c r="E53" s="51"/>
      <c r="F53" s="91" t="s">
        <v>1115</v>
      </c>
      <c r="G53" s="51" t="s">
        <v>1125</v>
      </c>
      <c r="H53" s="51"/>
      <c r="I53" s="100" t="s">
        <v>94</v>
      </c>
      <c r="J53" s="54" t="s">
        <v>1116</v>
      </c>
    </row>
    <row r="54" spans="1:10" ht="20.25" customHeight="1" x14ac:dyDescent="0.2">
      <c r="A54" s="83" t="s">
        <v>1132</v>
      </c>
      <c r="B54" s="51" t="s">
        <v>128</v>
      </c>
      <c r="C54" s="51" t="s">
        <v>490</v>
      </c>
      <c r="D54" s="51" t="s">
        <v>128</v>
      </c>
      <c r="E54" s="51"/>
      <c r="F54" s="91" t="s">
        <v>1115</v>
      </c>
      <c r="G54" s="51" t="s">
        <v>1125</v>
      </c>
      <c r="H54" s="51"/>
      <c r="I54" s="100" t="s">
        <v>94</v>
      </c>
      <c r="J54" s="54" t="s">
        <v>1116</v>
      </c>
    </row>
    <row r="55" spans="1:10" ht="20.25" customHeight="1" x14ac:dyDescent="0.2">
      <c r="A55" s="84" t="s">
        <v>1133</v>
      </c>
      <c r="B55" s="51" t="s">
        <v>128</v>
      </c>
      <c r="C55" s="51" t="s">
        <v>1023</v>
      </c>
      <c r="D55" s="51" t="s">
        <v>128</v>
      </c>
      <c r="E55" s="51"/>
      <c r="F55" s="91" t="s">
        <v>1115</v>
      </c>
      <c r="G55" s="51" t="s">
        <v>1134</v>
      </c>
      <c r="H55" s="51"/>
      <c r="I55" s="100" t="s">
        <v>94</v>
      </c>
      <c r="J55" s="54" t="s">
        <v>1116</v>
      </c>
    </row>
    <row r="56" spans="1:10" ht="20.25" customHeight="1" x14ac:dyDescent="0.2">
      <c r="A56" s="83" t="s">
        <v>1135</v>
      </c>
      <c r="B56" s="51" t="s">
        <v>128</v>
      </c>
      <c r="C56" s="51" t="s">
        <v>1023</v>
      </c>
      <c r="D56" s="51" t="s">
        <v>128</v>
      </c>
      <c r="E56" s="51"/>
      <c r="F56" s="91" t="s">
        <v>1115</v>
      </c>
      <c r="G56" s="51" t="s">
        <v>1134</v>
      </c>
      <c r="H56" s="51"/>
      <c r="I56" s="100" t="s">
        <v>94</v>
      </c>
      <c r="J56" s="54" t="s">
        <v>1116</v>
      </c>
    </row>
    <row r="57" spans="1:10" ht="20.25" customHeight="1" x14ac:dyDescent="0.2">
      <c r="A57" s="83" t="s">
        <v>1136</v>
      </c>
      <c r="B57" s="51" t="s">
        <v>128</v>
      </c>
      <c r="C57" s="51" t="s">
        <v>1023</v>
      </c>
      <c r="D57" s="51" t="s">
        <v>128</v>
      </c>
      <c r="E57" s="51"/>
      <c r="F57" s="91" t="s">
        <v>1115</v>
      </c>
      <c r="G57" s="51" t="s">
        <v>1134</v>
      </c>
      <c r="H57" s="51"/>
      <c r="I57" s="100" t="s">
        <v>94</v>
      </c>
      <c r="J57" s="54" t="s">
        <v>1116</v>
      </c>
    </row>
    <row r="58" spans="1:10" ht="20.25" customHeight="1" x14ac:dyDescent="0.2">
      <c r="A58" s="83" t="s">
        <v>1137</v>
      </c>
      <c r="B58" s="51" t="s">
        <v>128</v>
      </c>
      <c r="C58" s="51" t="s">
        <v>1023</v>
      </c>
      <c r="D58" s="51" t="s">
        <v>128</v>
      </c>
      <c r="E58" s="51"/>
      <c r="F58" s="91" t="s">
        <v>1115</v>
      </c>
      <c r="G58" s="51" t="s">
        <v>1134</v>
      </c>
      <c r="H58" s="51"/>
      <c r="I58" s="100" t="s">
        <v>94</v>
      </c>
      <c r="J58" s="54" t="s">
        <v>1116</v>
      </c>
    </row>
    <row r="59" spans="1:10" ht="20.25" customHeight="1" x14ac:dyDescent="0.2">
      <c r="A59" s="83" t="s">
        <v>1138</v>
      </c>
      <c r="B59" s="51" t="s">
        <v>128</v>
      </c>
      <c r="C59" s="51" t="s">
        <v>1023</v>
      </c>
      <c r="D59" s="51" t="s">
        <v>128</v>
      </c>
      <c r="E59" s="51"/>
      <c r="F59" s="91" t="s">
        <v>1115</v>
      </c>
      <c r="G59" s="51" t="s">
        <v>1134</v>
      </c>
      <c r="H59" s="51"/>
      <c r="I59" s="100" t="s">
        <v>94</v>
      </c>
      <c r="J59" s="54" t="s">
        <v>1116</v>
      </c>
    </row>
    <row r="60" spans="1:10" ht="20.25" customHeight="1" x14ac:dyDescent="0.2">
      <c r="A60" s="83" t="s">
        <v>1139</v>
      </c>
      <c r="B60" s="51" t="s">
        <v>128</v>
      </c>
      <c r="C60" s="51" t="s">
        <v>1023</v>
      </c>
      <c r="D60" s="51" t="s">
        <v>128</v>
      </c>
      <c r="E60" s="51"/>
      <c r="F60" s="91" t="s">
        <v>1115</v>
      </c>
      <c r="G60" s="51" t="s">
        <v>1134</v>
      </c>
      <c r="H60" s="51"/>
      <c r="I60" s="100" t="s">
        <v>94</v>
      </c>
      <c r="J60" s="54" t="s">
        <v>1116</v>
      </c>
    </row>
    <row r="61" spans="1:10" ht="20.25" customHeight="1" x14ac:dyDescent="0.2">
      <c r="A61" s="83" t="s">
        <v>1140</v>
      </c>
      <c r="B61" s="51" t="s">
        <v>128</v>
      </c>
      <c r="C61" s="51" t="s">
        <v>1023</v>
      </c>
      <c r="D61" s="51" t="s">
        <v>128</v>
      </c>
      <c r="E61" s="51"/>
      <c r="F61" s="91" t="s">
        <v>1115</v>
      </c>
      <c r="G61" s="51" t="s">
        <v>1134</v>
      </c>
      <c r="H61" s="51"/>
      <c r="I61" s="100" t="s">
        <v>94</v>
      </c>
      <c r="J61" s="54" t="s">
        <v>1116</v>
      </c>
    </row>
    <row r="62" spans="1:10" ht="20.25" customHeight="1" x14ac:dyDescent="0.2">
      <c r="A62" s="83" t="s">
        <v>1141</v>
      </c>
      <c r="B62" s="51" t="s">
        <v>128</v>
      </c>
      <c r="C62" s="51" t="s">
        <v>1023</v>
      </c>
      <c r="D62" s="51" t="s">
        <v>128</v>
      </c>
      <c r="E62" s="51"/>
      <c r="F62" s="91" t="s">
        <v>1115</v>
      </c>
      <c r="G62" s="51" t="s">
        <v>1134</v>
      </c>
      <c r="H62" s="51"/>
      <c r="I62" s="100" t="s">
        <v>94</v>
      </c>
      <c r="J62" s="54" t="s">
        <v>1116</v>
      </c>
    </row>
    <row r="63" spans="1:10" ht="20.25" customHeight="1" x14ac:dyDescent="0.2">
      <c r="A63" s="83" t="s">
        <v>1142</v>
      </c>
      <c r="B63" s="51" t="s">
        <v>128</v>
      </c>
      <c r="C63" s="51" t="s">
        <v>1023</v>
      </c>
      <c r="D63" s="51" t="s">
        <v>128</v>
      </c>
      <c r="E63" s="51"/>
      <c r="F63" s="91" t="s">
        <v>1115</v>
      </c>
      <c r="G63" s="51" t="s">
        <v>1134</v>
      </c>
      <c r="H63" s="51"/>
      <c r="I63" s="100" t="s">
        <v>94</v>
      </c>
      <c r="J63" s="54" t="s">
        <v>1116</v>
      </c>
    </row>
    <row r="64" spans="1:10" ht="20.25" customHeight="1" x14ac:dyDescent="0.2">
      <c r="A64" s="83" t="s">
        <v>1143</v>
      </c>
      <c r="B64" s="51" t="s">
        <v>128</v>
      </c>
      <c r="C64" s="51" t="s">
        <v>1023</v>
      </c>
      <c r="D64" s="51" t="s">
        <v>128</v>
      </c>
      <c r="E64" s="51"/>
      <c r="F64" s="91" t="s">
        <v>1115</v>
      </c>
      <c r="G64" s="51" t="s">
        <v>1134</v>
      </c>
      <c r="H64" s="51"/>
      <c r="I64" s="100" t="s">
        <v>94</v>
      </c>
      <c r="J64" s="54" t="s">
        <v>1116</v>
      </c>
    </row>
    <row r="65" spans="1:10" ht="20.25" customHeight="1" x14ac:dyDescent="0.2">
      <c r="A65" s="83" t="s">
        <v>1144</v>
      </c>
      <c r="B65" s="51" t="s">
        <v>128</v>
      </c>
      <c r="C65" s="51" t="s">
        <v>1023</v>
      </c>
      <c r="D65" s="51" t="s">
        <v>128</v>
      </c>
      <c r="E65" s="51"/>
      <c r="F65" s="91" t="s">
        <v>1115</v>
      </c>
      <c r="G65" s="51" t="s">
        <v>1134</v>
      </c>
      <c r="H65" s="51"/>
      <c r="I65" s="100" t="s">
        <v>94</v>
      </c>
      <c r="J65" s="54" t="s">
        <v>1116</v>
      </c>
    </row>
    <row r="66" spans="1:10" ht="20.25" customHeight="1" x14ac:dyDescent="0.2">
      <c r="A66" s="83" t="s">
        <v>1145</v>
      </c>
      <c r="B66" s="51" t="s">
        <v>128</v>
      </c>
      <c r="C66" s="51" t="s">
        <v>1023</v>
      </c>
      <c r="D66" s="51" t="s">
        <v>128</v>
      </c>
      <c r="E66" s="51"/>
      <c r="F66" s="91" t="s">
        <v>1115</v>
      </c>
      <c r="G66" s="51" t="s">
        <v>1134</v>
      </c>
      <c r="H66" s="51"/>
      <c r="I66" s="100" t="s">
        <v>94</v>
      </c>
      <c r="J66" s="54" t="s">
        <v>1116</v>
      </c>
    </row>
    <row r="67" spans="1:10" ht="20.25" customHeight="1" x14ac:dyDescent="0.2">
      <c r="A67" s="84" t="s">
        <v>1146</v>
      </c>
      <c r="B67" s="51" t="s">
        <v>128</v>
      </c>
      <c r="C67" s="51" t="s">
        <v>73</v>
      </c>
      <c r="D67" s="51" t="s">
        <v>128</v>
      </c>
      <c r="E67" s="51"/>
      <c r="F67" s="91" t="s">
        <v>1115</v>
      </c>
      <c r="G67" s="51" t="s">
        <v>1125</v>
      </c>
      <c r="H67" s="51"/>
      <c r="I67" s="100" t="s">
        <v>94</v>
      </c>
      <c r="J67" s="54" t="s">
        <v>1116</v>
      </c>
    </row>
    <row r="68" spans="1:10" ht="20.25" customHeight="1" x14ac:dyDescent="0.2">
      <c r="A68" s="83" t="s">
        <v>1147</v>
      </c>
      <c r="B68" s="51" t="s">
        <v>128</v>
      </c>
      <c r="C68" s="51" t="s">
        <v>73</v>
      </c>
      <c r="D68" s="51" t="s">
        <v>128</v>
      </c>
      <c r="E68" s="51"/>
      <c r="F68" s="91" t="s">
        <v>1115</v>
      </c>
      <c r="G68" s="51" t="s">
        <v>1125</v>
      </c>
      <c r="H68" s="51"/>
      <c r="I68" s="100" t="s">
        <v>94</v>
      </c>
      <c r="J68" s="54" t="s">
        <v>1116</v>
      </c>
    </row>
    <row r="69" spans="1:10" ht="20.25" customHeight="1" x14ac:dyDescent="0.2">
      <c r="A69" s="83" t="s">
        <v>1148</v>
      </c>
      <c r="B69" s="51" t="s">
        <v>128</v>
      </c>
      <c r="C69" s="51" t="s">
        <v>73</v>
      </c>
      <c r="D69" s="51" t="s">
        <v>128</v>
      </c>
      <c r="E69" s="51"/>
      <c r="F69" s="91" t="s">
        <v>1115</v>
      </c>
      <c r="G69" s="51" t="s">
        <v>1125</v>
      </c>
      <c r="H69" s="51"/>
      <c r="I69" s="100" t="s">
        <v>94</v>
      </c>
      <c r="J69" s="54" t="s">
        <v>1116</v>
      </c>
    </row>
    <row r="70" spans="1:10" ht="20.25" customHeight="1" x14ac:dyDescent="0.2">
      <c r="A70" s="83" t="s">
        <v>1149</v>
      </c>
      <c r="B70" s="51" t="s">
        <v>128</v>
      </c>
      <c r="C70" s="51" t="s">
        <v>73</v>
      </c>
      <c r="D70" s="51" t="s">
        <v>128</v>
      </c>
      <c r="E70" s="51"/>
      <c r="F70" s="91" t="s">
        <v>1115</v>
      </c>
      <c r="G70" s="51" t="s">
        <v>1125</v>
      </c>
      <c r="H70" s="51"/>
      <c r="I70" s="100" t="s">
        <v>94</v>
      </c>
      <c r="J70" s="54" t="s">
        <v>1116</v>
      </c>
    </row>
    <row r="71" spans="1:10" ht="20.25" customHeight="1" x14ac:dyDescent="0.2">
      <c r="A71" s="83" t="s">
        <v>1150</v>
      </c>
      <c r="B71" s="51" t="s">
        <v>128</v>
      </c>
      <c r="C71" s="51" t="s">
        <v>73</v>
      </c>
      <c r="D71" s="51" t="s">
        <v>128</v>
      </c>
      <c r="E71" s="51"/>
      <c r="F71" s="91" t="s">
        <v>1115</v>
      </c>
      <c r="G71" s="51" t="s">
        <v>1125</v>
      </c>
      <c r="H71" s="51"/>
      <c r="I71" s="100" t="s">
        <v>94</v>
      </c>
      <c r="J71" s="54" t="s">
        <v>1116</v>
      </c>
    </row>
    <row r="72" spans="1:10" ht="20.25" customHeight="1" x14ac:dyDescent="0.2">
      <c r="A72" s="85" t="s">
        <v>1151</v>
      </c>
      <c r="B72" s="51" t="s">
        <v>128</v>
      </c>
      <c r="C72" s="51" t="s">
        <v>73</v>
      </c>
      <c r="D72" s="51" t="s">
        <v>128</v>
      </c>
      <c r="E72" s="51"/>
      <c r="F72" s="91" t="s">
        <v>1115</v>
      </c>
      <c r="G72" s="51" t="s">
        <v>1125</v>
      </c>
      <c r="H72" s="51"/>
      <c r="I72" s="100" t="s">
        <v>94</v>
      </c>
      <c r="J72" s="54" t="s">
        <v>1116</v>
      </c>
    </row>
    <row r="73" spans="1:10" ht="20.25" customHeight="1" x14ac:dyDescent="0.2">
      <c r="A73" s="85" t="s">
        <v>764</v>
      </c>
      <c r="B73" s="51" t="s">
        <v>128</v>
      </c>
      <c r="C73" s="51" t="s">
        <v>73</v>
      </c>
      <c r="D73" s="51" t="s">
        <v>128</v>
      </c>
      <c r="E73" s="51"/>
      <c r="F73" s="91" t="s">
        <v>1115</v>
      </c>
      <c r="G73" s="51" t="s">
        <v>1125</v>
      </c>
      <c r="H73" s="51"/>
      <c r="I73" s="100" t="s">
        <v>94</v>
      </c>
      <c r="J73" s="54" t="s">
        <v>1116</v>
      </c>
    </row>
    <row r="74" spans="1:10" ht="20.25" customHeight="1" x14ac:dyDescent="0.2">
      <c r="A74" s="85" t="s">
        <v>709</v>
      </c>
      <c r="B74" s="51" t="s">
        <v>128</v>
      </c>
      <c r="C74" s="51" t="s">
        <v>73</v>
      </c>
      <c r="D74" s="51" t="s">
        <v>128</v>
      </c>
      <c r="E74" s="51"/>
      <c r="F74" s="91" t="s">
        <v>1115</v>
      </c>
      <c r="G74" s="51" t="s">
        <v>1125</v>
      </c>
      <c r="H74" s="51"/>
      <c r="I74" s="100" t="s">
        <v>94</v>
      </c>
      <c r="J74" s="54" t="s">
        <v>1116</v>
      </c>
    </row>
    <row r="75" spans="1:10" ht="20.25" customHeight="1" x14ac:dyDescent="0.2">
      <c r="A75" s="84" t="s">
        <v>171</v>
      </c>
      <c r="B75" s="51" t="s">
        <v>128</v>
      </c>
      <c r="C75" s="51" t="s">
        <v>1152</v>
      </c>
      <c r="D75" s="51" t="s">
        <v>128</v>
      </c>
      <c r="E75" s="51"/>
      <c r="F75" s="91" t="s">
        <v>1115</v>
      </c>
      <c r="G75" s="51" t="s">
        <v>1125</v>
      </c>
      <c r="H75" s="51"/>
      <c r="I75" s="100" t="s">
        <v>94</v>
      </c>
      <c r="J75" s="54" t="s">
        <v>1116</v>
      </c>
    </row>
    <row r="76" spans="1:10" ht="20.25" customHeight="1" x14ac:dyDescent="0.2">
      <c r="A76" s="83" t="s">
        <v>1153</v>
      </c>
      <c r="B76" s="51" t="s">
        <v>128</v>
      </c>
      <c r="C76" s="51" t="s">
        <v>1152</v>
      </c>
      <c r="D76" s="51" t="s">
        <v>128</v>
      </c>
      <c r="E76" s="51"/>
      <c r="F76" s="91" t="s">
        <v>1115</v>
      </c>
      <c r="G76" s="51" t="s">
        <v>1125</v>
      </c>
      <c r="H76" s="51"/>
      <c r="I76" s="100" t="s">
        <v>94</v>
      </c>
      <c r="J76" s="54" t="s">
        <v>1116</v>
      </c>
    </row>
    <row r="77" spans="1:10" ht="20.25" customHeight="1" x14ac:dyDescent="0.2">
      <c r="A77" s="83" t="s">
        <v>769</v>
      </c>
      <c r="B77" s="51" t="s">
        <v>128</v>
      </c>
      <c r="C77" s="51" t="s">
        <v>1152</v>
      </c>
      <c r="D77" s="51" t="s">
        <v>128</v>
      </c>
      <c r="E77" s="51"/>
      <c r="F77" s="91" t="s">
        <v>1115</v>
      </c>
      <c r="G77" s="51" t="s">
        <v>1125</v>
      </c>
      <c r="H77" s="51"/>
      <c r="I77" s="100" t="s">
        <v>94</v>
      </c>
      <c r="J77" s="54" t="s">
        <v>1116</v>
      </c>
    </row>
    <row r="78" spans="1:10" ht="20.25" customHeight="1" x14ac:dyDescent="0.2">
      <c r="A78" s="83" t="s">
        <v>728</v>
      </c>
      <c r="B78" s="51" t="s">
        <v>128</v>
      </c>
      <c r="C78" s="51" t="s">
        <v>1152</v>
      </c>
      <c r="D78" s="51" t="s">
        <v>128</v>
      </c>
      <c r="E78" s="51"/>
      <c r="F78" s="91" t="s">
        <v>1115</v>
      </c>
      <c r="G78" s="51" t="s">
        <v>1125</v>
      </c>
      <c r="H78" s="51"/>
      <c r="I78" s="100" t="s">
        <v>94</v>
      </c>
      <c r="J78" s="54" t="s">
        <v>1116</v>
      </c>
    </row>
    <row r="79" spans="1:10" ht="20.25" customHeight="1" x14ac:dyDescent="0.2">
      <c r="A79" s="83" t="s">
        <v>1154</v>
      </c>
      <c r="B79" s="51" t="s">
        <v>128</v>
      </c>
      <c r="C79" s="51" t="s">
        <v>1152</v>
      </c>
      <c r="D79" s="51" t="s">
        <v>128</v>
      </c>
      <c r="E79" s="51"/>
      <c r="F79" s="91" t="s">
        <v>1115</v>
      </c>
      <c r="G79" s="51" t="s">
        <v>1125</v>
      </c>
      <c r="H79" s="51"/>
      <c r="I79" s="100" t="s">
        <v>94</v>
      </c>
      <c r="J79" s="54" t="s">
        <v>1116</v>
      </c>
    </row>
    <row r="80" spans="1:10" ht="20.25" customHeight="1" x14ac:dyDescent="0.2">
      <c r="A80" s="83" t="s">
        <v>1142</v>
      </c>
      <c r="B80" s="51" t="s">
        <v>128</v>
      </c>
      <c r="C80" s="51" t="s">
        <v>1152</v>
      </c>
      <c r="D80" s="51" t="s">
        <v>128</v>
      </c>
      <c r="E80" s="51"/>
      <c r="F80" s="91" t="s">
        <v>1115</v>
      </c>
      <c r="G80" s="51" t="s">
        <v>1125</v>
      </c>
      <c r="H80" s="51"/>
      <c r="I80" s="100" t="s">
        <v>94</v>
      </c>
      <c r="J80" s="54" t="s">
        <v>1116</v>
      </c>
    </row>
    <row r="81" spans="1:10" ht="20.25" customHeight="1" x14ac:dyDescent="0.2">
      <c r="A81" s="83" t="s">
        <v>1155</v>
      </c>
      <c r="B81" s="51" t="s">
        <v>128</v>
      </c>
      <c r="C81" s="51" t="s">
        <v>1152</v>
      </c>
      <c r="D81" s="51" t="s">
        <v>128</v>
      </c>
      <c r="E81" s="51"/>
      <c r="F81" s="91" t="s">
        <v>1115</v>
      </c>
      <c r="G81" s="51" t="s">
        <v>1125</v>
      </c>
      <c r="H81" s="51"/>
      <c r="I81" s="100" t="s">
        <v>94</v>
      </c>
      <c r="J81" s="54" t="s">
        <v>1116</v>
      </c>
    </row>
    <row r="82" spans="1:10" ht="20.25" customHeight="1" x14ac:dyDescent="0.2">
      <c r="A82" s="83" t="s">
        <v>1156</v>
      </c>
      <c r="B82" s="51" t="s">
        <v>128</v>
      </c>
      <c r="C82" s="51" t="s">
        <v>1152</v>
      </c>
      <c r="D82" s="51" t="s">
        <v>128</v>
      </c>
      <c r="E82" s="51"/>
      <c r="F82" s="91" t="s">
        <v>1115</v>
      </c>
      <c r="G82" s="51" t="s">
        <v>1125</v>
      </c>
      <c r="H82" s="51"/>
      <c r="I82" s="100" t="s">
        <v>94</v>
      </c>
      <c r="J82" s="54" t="s">
        <v>1116</v>
      </c>
    </row>
    <row r="83" spans="1:10" ht="20.25" customHeight="1" x14ac:dyDescent="0.2">
      <c r="A83" s="83" t="s">
        <v>1157</v>
      </c>
      <c r="B83" s="51" t="s">
        <v>128</v>
      </c>
      <c r="C83" s="51" t="s">
        <v>1152</v>
      </c>
      <c r="D83" s="51" t="s">
        <v>128</v>
      </c>
      <c r="E83" s="51"/>
      <c r="F83" s="91" t="s">
        <v>1115</v>
      </c>
      <c r="G83" s="51" t="s">
        <v>1125</v>
      </c>
      <c r="H83" s="51"/>
      <c r="I83" s="100" t="s">
        <v>94</v>
      </c>
      <c r="J83" s="54" t="s">
        <v>1116</v>
      </c>
    </row>
    <row r="84" spans="1:10" ht="20.25" customHeight="1" x14ac:dyDescent="0.2">
      <c r="A84" s="83" t="s">
        <v>1158</v>
      </c>
      <c r="B84" s="51" t="s">
        <v>128</v>
      </c>
      <c r="C84" s="51" t="s">
        <v>1152</v>
      </c>
      <c r="D84" s="51" t="s">
        <v>128</v>
      </c>
      <c r="E84" s="51"/>
      <c r="F84" s="91" t="s">
        <v>1115</v>
      </c>
      <c r="G84" s="51" t="s">
        <v>1125</v>
      </c>
      <c r="H84" s="51"/>
      <c r="I84" s="100" t="s">
        <v>94</v>
      </c>
      <c r="J84" s="54" t="s">
        <v>1116</v>
      </c>
    </row>
    <row r="85" spans="1:10" ht="20.25" customHeight="1" x14ac:dyDescent="0.2">
      <c r="A85" s="84" t="s">
        <v>1159</v>
      </c>
      <c r="B85" s="51" t="s">
        <v>128</v>
      </c>
      <c r="C85" s="51" t="s">
        <v>1160</v>
      </c>
      <c r="D85" s="51" t="s">
        <v>128</v>
      </c>
      <c r="E85" s="51"/>
      <c r="F85" s="91" t="s">
        <v>1115</v>
      </c>
      <c r="G85" s="51" t="s">
        <v>1161</v>
      </c>
      <c r="H85" s="51"/>
      <c r="I85" s="100" t="s">
        <v>94</v>
      </c>
      <c r="J85" s="54" t="s">
        <v>1116</v>
      </c>
    </row>
    <row r="86" spans="1:10" ht="20.25" customHeight="1" x14ac:dyDescent="0.2">
      <c r="A86" s="83" t="s">
        <v>1162</v>
      </c>
      <c r="B86" s="51" t="s">
        <v>128</v>
      </c>
      <c r="C86" s="51" t="s">
        <v>1160</v>
      </c>
      <c r="D86" s="51" t="s">
        <v>128</v>
      </c>
      <c r="E86" s="51"/>
      <c r="F86" s="91" t="s">
        <v>1115</v>
      </c>
      <c r="G86" s="51" t="s">
        <v>1161</v>
      </c>
      <c r="H86" s="51"/>
      <c r="I86" s="100" t="s">
        <v>94</v>
      </c>
      <c r="J86" s="54" t="s">
        <v>1116</v>
      </c>
    </row>
    <row r="87" spans="1:10" ht="20.25" customHeight="1" x14ac:dyDescent="0.2">
      <c r="A87" s="83" t="s">
        <v>722</v>
      </c>
      <c r="B87" s="51" t="s">
        <v>128</v>
      </c>
      <c r="C87" s="51" t="s">
        <v>1160</v>
      </c>
      <c r="D87" s="51" t="s">
        <v>128</v>
      </c>
      <c r="E87" s="51"/>
      <c r="F87" s="91" t="s">
        <v>1115</v>
      </c>
      <c r="G87" s="51" t="s">
        <v>1161</v>
      </c>
      <c r="H87" s="51"/>
      <c r="I87" s="100" t="s">
        <v>94</v>
      </c>
      <c r="J87" s="54" t="s">
        <v>1116</v>
      </c>
    </row>
    <row r="88" spans="1:10" ht="20.25" customHeight="1" x14ac:dyDescent="0.2">
      <c r="A88" s="83" t="s">
        <v>732</v>
      </c>
      <c r="B88" s="51" t="s">
        <v>128</v>
      </c>
      <c r="C88" s="51" t="s">
        <v>1160</v>
      </c>
      <c r="D88" s="51" t="s">
        <v>128</v>
      </c>
      <c r="E88" s="51"/>
      <c r="F88" s="91" t="s">
        <v>1115</v>
      </c>
      <c r="G88" s="51" t="s">
        <v>1161</v>
      </c>
      <c r="H88" s="51"/>
      <c r="I88" s="100" t="s">
        <v>94</v>
      </c>
      <c r="J88" s="54" t="s">
        <v>1116</v>
      </c>
    </row>
    <row r="89" spans="1:10" ht="20.25" customHeight="1" x14ac:dyDescent="0.2">
      <c r="A89" s="83" t="s">
        <v>1149</v>
      </c>
      <c r="B89" s="51" t="s">
        <v>128</v>
      </c>
      <c r="C89" s="51" t="s">
        <v>1160</v>
      </c>
      <c r="D89" s="51" t="s">
        <v>128</v>
      </c>
      <c r="E89" s="51"/>
      <c r="F89" s="91" t="s">
        <v>1115</v>
      </c>
      <c r="G89" s="51" t="s">
        <v>1161</v>
      </c>
      <c r="H89" s="51"/>
      <c r="I89" s="100" t="s">
        <v>94</v>
      </c>
      <c r="J89" s="54" t="s">
        <v>1116</v>
      </c>
    </row>
    <row r="90" spans="1:10" ht="20.25" customHeight="1" x14ac:dyDescent="0.2">
      <c r="A90" s="83" t="s">
        <v>1163</v>
      </c>
      <c r="B90" s="51" t="s">
        <v>1164</v>
      </c>
      <c r="C90" s="51" t="s">
        <v>1165</v>
      </c>
      <c r="D90" s="51" t="s">
        <v>128</v>
      </c>
      <c r="E90" s="51"/>
      <c r="F90" s="91" t="s">
        <v>1115</v>
      </c>
      <c r="G90" s="51"/>
      <c r="H90" s="51"/>
      <c r="I90" s="100" t="s">
        <v>94</v>
      </c>
      <c r="J90" s="54" t="s">
        <v>1116</v>
      </c>
    </row>
    <row r="91" spans="1:10" ht="20.25" customHeight="1" x14ac:dyDescent="0.2">
      <c r="A91" s="84" t="s">
        <v>714</v>
      </c>
      <c r="B91" s="51" t="s">
        <v>128</v>
      </c>
      <c r="C91" s="51" t="s">
        <v>67</v>
      </c>
      <c r="D91" s="51" t="s">
        <v>128</v>
      </c>
      <c r="E91" s="51"/>
      <c r="F91" s="91" t="s">
        <v>1115</v>
      </c>
      <c r="G91" s="51" t="s">
        <v>1161</v>
      </c>
      <c r="H91" s="51"/>
      <c r="I91" s="100" t="s">
        <v>94</v>
      </c>
      <c r="J91" s="54" t="s">
        <v>1116</v>
      </c>
    </row>
    <row r="92" spans="1:10" ht="20.25" customHeight="1" x14ac:dyDescent="0.2">
      <c r="A92" s="83" t="s">
        <v>1166</v>
      </c>
      <c r="B92" s="51" t="s">
        <v>128</v>
      </c>
      <c r="C92" s="51" t="s">
        <v>67</v>
      </c>
      <c r="D92" s="51" t="s">
        <v>128</v>
      </c>
      <c r="E92" s="51"/>
      <c r="F92" s="91" t="s">
        <v>1115</v>
      </c>
      <c r="G92" s="51" t="s">
        <v>1161</v>
      </c>
      <c r="H92" s="51"/>
      <c r="I92" s="100" t="s">
        <v>94</v>
      </c>
      <c r="J92" s="54" t="s">
        <v>1116</v>
      </c>
    </row>
    <row r="93" spans="1:10" ht="20.25" customHeight="1" x14ac:dyDescent="0.2">
      <c r="A93" s="83" t="s">
        <v>1167</v>
      </c>
      <c r="B93" s="51" t="s">
        <v>128</v>
      </c>
      <c r="C93" s="51" t="s">
        <v>67</v>
      </c>
      <c r="D93" s="51" t="s">
        <v>128</v>
      </c>
      <c r="E93" s="51"/>
      <c r="F93" s="91" t="s">
        <v>1115</v>
      </c>
      <c r="G93" s="51" t="s">
        <v>1161</v>
      </c>
      <c r="H93" s="51"/>
      <c r="I93" s="100" t="s">
        <v>94</v>
      </c>
      <c r="J93" s="54" t="s">
        <v>1116</v>
      </c>
    </row>
    <row r="94" spans="1:10" ht="20.25" customHeight="1" x14ac:dyDescent="0.2">
      <c r="A94" s="83" t="s">
        <v>1144</v>
      </c>
      <c r="B94" s="51" t="s">
        <v>128</v>
      </c>
      <c r="C94" s="51" t="s">
        <v>67</v>
      </c>
      <c r="D94" s="51" t="s">
        <v>128</v>
      </c>
      <c r="E94" s="51"/>
      <c r="F94" s="91" t="s">
        <v>1115</v>
      </c>
      <c r="G94" s="51" t="s">
        <v>1161</v>
      </c>
      <c r="H94" s="51"/>
      <c r="I94" s="100" t="s">
        <v>94</v>
      </c>
      <c r="J94" s="54" t="s">
        <v>1116</v>
      </c>
    </row>
    <row r="95" spans="1:10" ht="20.25" customHeight="1" x14ac:dyDescent="0.2">
      <c r="A95" s="83" t="s">
        <v>1168</v>
      </c>
      <c r="B95" s="51" t="s">
        <v>128</v>
      </c>
      <c r="C95" s="51" t="s">
        <v>67</v>
      </c>
      <c r="D95" s="51" t="s">
        <v>128</v>
      </c>
      <c r="E95" s="51"/>
      <c r="F95" s="91" t="s">
        <v>1115</v>
      </c>
      <c r="G95" s="51" t="s">
        <v>1161</v>
      </c>
      <c r="H95" s="51"/>
      <c r="I95" s="100" t="s">
        <v>94</v>
      </c>
      <c r="J95" s="54" t="s">
        <v>1116</v>
      </c>
    </row>
    <row r="96" spans="1:10" ht="20.25" customHeight="1" x14ac:dyDescent="0.2">
      <c r="A96" s="83" t="s">
        <v>1169</v>
      </c>
      <c r="B96" s="51" t="s">
        <v>128</v>
      </c>
      <c r="C96" s="51" t="s">
        <v>67</v>
      </c>
      <c r="D96" s="51" t="s">
        <v>128</v>
      </c>
      <c r="E96" s="51"/>
      <c r="F96" s="91" t="s">
        <v>1115</v>
      </c>
      <c r="G96" s="51" t="s">
        <v>1161</v>
      </c>
      <c r="H96" s="51"/>
      <c r="I96" s="100" t="s">
        <v>94</v>
      </c>
      <c r="J96" s="54" t="s">
        <v>1116</v>
      </c>
    </row>
    <row r="97" spans="1:10" ht="20.25" customHeight="1" x14ac:dyDescent="0.2">
      <c r="A97" s="83" t="s">
        <v>157</v>
      </c>
      <c r="B97" s="51" t="s">
        <v>214</v>
      </c>
      <c r="C97" s="51" t="s">
        <v>76</v>
      </c>
      <c r="D97" s="51" t="s">
        <v>1170</v>
      </c>
      <c r="E97" s="100"/>
      <c r="F97" s="51" t="s">
        <v>1115</v>
      </c>
      <c r="G97" s="105" t="s">
        <v>8</v>
      </c>
      <c r="H97" s="51"/>
      <c r="I97" s="100" t="s">
        <v>94</v>
      </c>
      <c r="J97" s="54" t="s">
        <v>1116</v>
      </c>
    </row>
    <row r="98" spans="1:10" ht="20.25" customHeight="1" x14ac:dyDescent="0.2">
      <c r="A98" s="83" t="s">
        <v>1171</v>
      </c>
      <c r="B98" s="51" t="s">
        <v>214</v>
      </c>
      <c r="C98" s="51" t="s">
        <v>76</v>
      </c>
      <c r="D98" s="51" t="s">
        <v>1170</v>
      </c>
      <c r="E98" s="100"/>
      <c r="F98" s="51" t="s">
        <v>1115</v>
      </c>
      <c r="G98" s="105" t="s">
        <v>8</v>
      </c>
      <c r="H98" s="51"/>
      <c r="I98" s="100" t="s">
        <v>94</v>
      </c>
      <c r="J98" s="54" t="s">
        <v>1116</v>
      </c>
    </row>
    <row r="99" spans="1:10" ht="20.25" customHeight="1" x14ac:dyDescent="0.2">
      <c r="A99" s="83" t="s">
        <v>1172</v>
      </c>
      <c r="B99" s="51" t="s">
        <v>214</v>
      </c>
      <c r="C99" s="51" t="s">
        <v>76</v>
      </c>
      <c r="D99" s="51" t="s">
        <v>1170</v>
      </c>
      <c r="E99" s="100"/>
      <c r="F99" s="51" t="s">
        <v>1115</v>
      </c>
      <c r="G99" s="105" t="s">
        <v>8</v>
      </c>
      <c r="H99" s="51"/>
      <c r="I99" s="100" t="s">
        <v>94</v>
      </c>
      <c r="J99" s="54" t="s">
        <v>1116</v>
      </c>
    </row>
    <row r="100" spans="1:10" ht="20.25" customHeight="1" x14ac:dyDescent="0.2">
      <c r="A100" s="83" t="s">
        <v>1173</v>
      </c>
      <c r="B100" s="51" t="s">
        <v>214</v>
      </c>
      <c r="C100" s="51" t="s">
        <v>76</v>
      </c>
      <c r="D100" s="51" t="s">
        <v>1170</v>
      </c>
      <c r="E100" s="100"/>
      <c r="F100" s="51" t="s">
        <v>1115</v>
      </c>
      <c r="G100" s="105" t="s">
        <v>8</v>
      </c>
      <c r="H100" s="51"/>
      <c r="I100" s="100" t="s">
        <v>94</v>
      </c>
      <c r="J100" s="54" t="s">
        <v>1116</v>
      </c>
    </row>
    <row r="101" spans="1:10" ht="20.25" customHeight="1" x14ac:dyDescent="0.2">
      <c r="A101" s="83" t="s">
        <v>1174</v>
      </c>
      <c r="B101" s="51" t="s">
        <v>214</v>
      </c>
      <c r="C101" s="51" t="s">
        <v>76</v>
      </c>
      <c r="D101" s="51" t="s">
        <v>1170</v>
      </c>
      <c r="E101" s="100"/>
      <c r="F101" s="51" t="s">
        <v>1115</v>
      </c>
      <c r="G101" s="105" t="s">
        <v>8</v>
      </c>
      <c r="H101" s="51"/>
      <c r="I101" s="100" t="s">
        <v>94</v>
      </c>
      <c r="J101" s="54" t="s">
        <v>1116</v>
      </c>
    </row>
    <row r="102" spans="1:10" ht="20.25" customHeight="1" x14ac:dyDescent="0.2">
      <c r="A102" s="83" t="s">
        <v>1175</v>
      </c>
      <c r="B102" s="51" t="s">
        <v>214</v>
      </c>
      <c r="C102" s="51" t="s">
        <v>76</v>
      </c>
      <c r="D102" s="51" t="s">
        <v>1170</v>
      </c>
      <c r="E102" s="100"/>
      <c r="F102" s="51" t="s">
        <v>1115</v>
      </c>
      <c r="G102" s="105" t="s">
        <v>8</v>
      </c>
      <c r="H102" s="51"/>
      <c r="I102" s="100" t="s">
        <v>94</v>
      </c>
      <c r="J102" s="54" t="s">
        <v>1116</v>
      </c>
    </row>
    <row r="103" spans="1:10" ht="20.25" customHeight="1" x14ac:dyDescent="0.2">
      <c r="A103" s="83" t="s">
        <v>1176</v>
      </c>
      <c r="B103" s="51" t="s">
        <v>214</v>
      </c>
      <c r="C103" s="51" t="s">
        <v>76</v>
      </c>
      <c r="D103" s="51" t="s">
        <v>1170</v>
      </c>
      <c r="E103" s="100"/>
      <c r="F103" s="51" t="s">
        <v>1115</v>
      </c>
      <c r="G103" s="105" t="s">
        <v>8</v>
      </c>
      <c r="H103" s="51"/>
      <c r="I103" s="100" t="s">
        <v>94</v>
      </c>
      <c r="J103" s="54" t="s">
        <v>1116</v>
      </c>
    </row>
  </sheetData>
  <conditionalFormatting sqref="E2:E36">
    <cfRule type="cellIs" dxfId="35" priority="21" operator="equal">
      <formula>"LH Dev"</formula>
    </cfRule>
    <cfRule type="cellIs" dxfId="34" priority="22" operator="equal">
      <formula>"Cloud"</formula>
    </cfRule>
    <cfRule type="cellIs" dxfId="33" priority="23" operator="equal">
      <formula>"Ehub Dev"</formula>
    </cfRule>
    <cfRule type="cellIs" dxfId="32" priority="24" operator="equal">
      <formula>"VE Dev"</formula>
    </cfRule>
    <cfRule type="cellIs" dxfId="31" priority="25" operator="equal">
      <formula>"Elite Dev"</formula>
    </cfRule>
  </conditionalFormatting>
  <conditionalFormatting sqref="E38:E39">
    <cfRule type="cellIs" dxfId="30" priority="11" operator="equal">
      <formula>"LH Dev"</formula>
    </cfRule>
    <cfRule type="cellIs" dxfId="29" priority="12" operator="equal">
      <formula>"Cloud"</formula>
    </cfRule>
    <cfRule type="cellIs" dxfId="28" priority="13" operator="equal">
      <formula>"Ehub Dev"</formula>
    </cfRule>
    <cfRule type="cellIs" dxfId="27" priority="14" operator="equal">
      <formula>"VE Dev"</formula>
    </cfRule>
    <cfRule type="cellIs" dxfId="26" priority="15" operator="equal">
      <formula>"Elite Dev"</formula>
    </cfRule>
  </conditionalFormatting>
  <conditionalFormatting sqref="E41:E42">
    <cfRule type="cellIs" dxfId="25" priority="1" operator="equal">
      <formula>"LH Dev"</formula>
    </cfRule>
    <cfRule type="cellIs" dxfId="24" priority="2" operator="equal">
      <formula>"Cloud"</formula>
    </cfRule>
    <cfRule type="cellIs" dxfId="23" priority="3" operator="equal">
      <formula>"Ehub Dev"</formula>
    </cfRule>
    <cfRule type="cellIs" dxfId="22" priority="4" operator="equal">
      <formula>"VE Dev"</formula>
    </cfRule>
    <cfRule type="cellIs" dxfId="21" priority="5" operator="equal">
      <formula>"Elite Dev"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5"/>
  <sheetViews>
    <sheetView workbookViewId="0">
      <pane xSplit="1" topLeftCell="B1" activePane="topRight" state="frozen"/>
      <selection pane="topRight" activeCell="I32" sqref="I32:I39"/>
    </sheetView>
  </sheetViews>
  <sheetFormatPr defaultColWidth="14.42578125" defaultRowHeight="15.75" customHeight="1" x14ac:dyDescent="0.2"/>
  <cols>
    <col min="1" max="1" width="15" customWidth="1"/>
    <col min="2" max="2" width="17.42578125" bestFit="1" customWidth="1"/>
    <col min="3" max="3" width="18" customWidth="1"/>
    <col min="4" max="4" width="20.42578125" customWidth="1"/>
    <col min="5" max="5" width="19.140625" customWidth="1"/>
    <col min="6" max="7" width="21.42578125" customWidth="1"/>
    <col min="8" max="8" width="16.7109375" customWidth="1"/>
    <col min="9" max="10" width="17.42578125" customWidth="1"/>
    <col min="11" max="11" width="21.7109375" customWidth="1"/>
    <col min="12" max="12" width="17" customWidth="1"/>
    <col min="13" max="13" width="24" customWidth="1"/>
    <col min="14" max="15" width="21.28515625" customWidth="1"/>
    <col min="16" max="16" width="16.7109375" customWidth="1"/>
    <col min="17" max="17" width="24.140625" customWidth="1"/>
    <col min="18" max="20" width="24.7109375" customWidth="1"/>
  </cols>
  <sheetData>
    <row r="1" spans="1:20" x14ac:dyDescent="0.25">
      <c r="A1" s="1" t="s">
        <v>0</v>
      </c>
      <c r="B1" s="2" t="s">
        <v>1</v>
      </c>
      <c r="C1" s="2" t="s">
        <v>1</v>
      </c>
      <c r="D1" s="4" t="s">
        <v>84</v>
      </c>
      <c r="E1" s="3" t="s">
        <v>524</v>
      </c>
      <c r="F1" s="4" t="s">
        <v>1177</v>
      </c>
      <c r="G1" s="3" t="s">
        <v>1178</v>
      </c>
      <c r="H1" s="3" t="s">
        <v>1178</v>
      </c>
      <c r="I1" s="3" t="s">
        <v>4</v>
      </c>
      <c r="J1" s="3"/>
      <c r="K1" s="2" t="s">
        <v>1</v>
      </c>
      <c r="L1" s="3"/>
      <c r="M1" s="3" t="s">
        <v>4</v>
      </c>
      <c r="N1" s="3" t="s">
        <v>1</v>
      </c>
      <c r="O1" s="3" t="s">
        <v>524</v>
      </c>
      <c r="P1" s="4"/>
      <c r="Q1" s="4"/>
      <c r="R1" s="4"/>
      <c r="S1" s="4"/>
      <c r="T1" s="4"/>
    </row>
    <row r="2" spans="1:20" x14ac:dyDescent="0.25">
      <c r="A2" s="1" t="s">
        <v>10</v>
      </c>
      <c r="B2" s="5" t="s">
        <v>548</v>
      </c>
      <c r="C2" s="6" t="s">
        <v>549</v>
      </c>
      <c r="D2" s="10" t="s">
        <v>13</v>
      </c>
      <c r="E2" s="10" t="s">
        <v>13</v>
      </c>
      <c r="F2" s="10" t="s">
        <v>13</v>
      </c>
      <c r="G2" s="7" t="s">
        <v>551</v>
      </c>
      <c r="H2" s="7" t="s">
        <v>551</v>
      </c>
      <c r="I2" s="5" t="s">
        <v>525</v>
      </c>
      <c r="J2" s="5"/>
      <c r="K2" s="5" t="s">
        <v>525</v>
      </c>
      <c r="L2" s="8" t="s">
        <v>28</v>
      </c>
      <c r="M2" s="2" t="s">
        <v>553</v>
      </c>
      <c r="N2" s="9" t="s">
        <v>1179</v>
      </c>
      <c r="O2" s="9" t="s">
        <v>1180</v>
      </c>
      <c r="P2" s="4" t="s">
        <v>21</v>
      </c>
      <c r="Q2" s="10" t="s">
        <v>13</v>
      </c>
      <c r="R2" s="10"/>
      <c r="S2" s="4" t="s">
        <v>8</v>
      </c>
      <c r="T2" s="4"/>
    </row>
    <row r="3" spans="1:20" x14ac:dyDescent="0.25">
      <c r="A3" s="1" t="s">
        <v>23</v>
      </c>
      <c r="B3" s="10" t="s">
        <v>13</v>
      </c>
      <c r="C3" s="10" t="s">
        <v>13</v>
      </c>
      <c r="D3" s="10" t="s">
        <v>13</v>
      </c>
      <c r="E3" s="10" t="s">
        <v>13</v>
      </c>
      <c r="F3" s="10" t="s">
        <v>13</v>
      </c>
      <c r="G3" s="8" t="s">
        <v>28</v>
      </c>
      <c r="H3" s="8" t="s">
        <v>28</v>
      </c>
      <c r="I3" s="8" t="s">
        <v>28</v>
      </c>
      <c r="J3" s="8" t="s">
        <v>28</v>
      </c>
      <c r="K3" s="8" t="s">
        <v>1181</v>
      </c>
      <c r="L3" s="8" t="s">
        <v>28</v>
      </c>
      <c r="M3" s="5" t="s">
        <v>21</v>
      </c>
      <c r="N3" s="5" t="s">
        <v>21</v>
      </c>
      <c r="O3" s="5" t="s">
        <v>21</v>
      </c>
      <c r="P3" s="5" t="s">
        <v>21</v>
      </c>
      <c r="Q3" s="10" t="s">
        <v>25</v>
      </c>
      <c r="R3" s="10"/>
      <c r="S3" s="11" t="s">
        <v>8</v>
      </c>
      <c r="T3" s="11"/>
    </row>
    <row r="4" spans="1:20" x14ac:dyDescent="0.25">
      <c r="A4" s="1" t="s">
        <v>31</v>
      </c>
      <c r="B4" s="12" t="s">
        <v>40</v>
      </c>
      <c r="C4" s="12" t="s">
        <v>40</v>
      </c>
      <c r="D4" s="12" t="s">
        <v>40</v>
      </c>
      <c r="E4" s="12" t="s">
        <v>40</v>
      </c>
      <c r="F4" s="12" t="s">
        <v>40</v>
      </c>
      <c r="G4" s="5" t="s">
        <v>105</v>
      </c>
      <c r="H4" s="5" t="s">
        <v>105</v>
      </c>
      <c r="I4" s="12" t="s">
        <v>40</v>
      </c>
      <c r="J4" s="12"/>
      <c r="K4" s="12" t="s">
        <v>40</v>
      </c>
      <c r="L4" s="12" t="s">
        <v>40</v>
      </c>
      <c r="M4" s="12" t="s">
        <v>36</v>
      </c>
      <c r="N4" s="12" t="s">
        <v>36</v>
      </c>
      <c r="O4" s="12" t="s">
        <v>36</v>
      </c>
      <c r="P4" s="4"/>
      <c r="Q4" s="4"/>
      <c r="R4" s="4"/>
      <c r="S4" s="4" t="s">
        <v>41</v>
      </c>
      <c r="T4" s="4"/>
    </row>
    <row r="5" spans="1:20" s="123" customFormat="1" ht="24.75" customHeight="1" x14ac:dyDescent="0.25">
      <c r="A5" s="147" t="s">
        <v>42</v>
      </c>
      <c r="B5" s="148">
        <v>0.83333333333333304</v>
      </c>
      <c r="C5" s="148">
        <v>0.83333333333333337</v>
      </c>
      <c r="D5" s="149" t="s">
        <v>1182</v>
      </c>
      <c r="E5" s="149" t="s">
        <v>565</v>
      </c>
      <c r="F5" s="150" t="s">
        <v>57</v>
      </c>
      <c r="G5" s="150" t="s">
        <v>1183</v>
      </c>
      <c r="H5" s="150" t="s">
        <v>1183</v>
      </c>
      <c r="I5" s="150" t="s">
        <v>1184</v>
      </c>
      <c r="J5" s="150"/>
      <c r="K5" s="150" t="s">
        <v>567</v>
      </c>
      <c r="L5" s="150" t="s">
        <v>1185</v>
      </c>
      <c r="M5" s="150" t="s">
        <v>1186</v>
      </c>
      <c r="N5" s="150" t="s">
        <v>1187</v>
      </c>
      <c r="O5" s="150"/>
      <c r="P5" s="150" t="s">
        <v>565</v>
      </c>
      <c r="Q5" s="150" t="s">
        <v>57</v>
      </c>
      <c r="R5" s="150"/>
      <c r="S5" s="150"/>
      <c r="T5" s="150"/>
    </row>
    <row r="6" spans="1:20" ht="41.25" customHeight="1" x14ac:dyDescent="0.2">
      <c r="A6" s="152" t="s">
        <v>1188</v>
      </c>
      <c r="B6" s="142" t="s">
        <v>60</v>
      </c>
      <c r="C6" s="142" t="s">
        <v>61</v>
      </c>
      <c r="D6" s="142" t="s">
        <v>63</v>
      </c>
      <c r="E6" s="142" t="s">
        <v>576</v>
      </c>
      <c r="F6" s="143" t="s">
        <v>69</v>
      </c>
      <c r="G6" s="142" t="s">
        <v>577</v>
      </c>
      <c r="H6" s="142" t="s">
        <v>578</v>
      </c>
      <c r="I6" s="144" t="s">
        <v>73</v>
      </c>
      <c r="J6" s="145" t="s">
        <v>527</v>
      </c>
      <c r="K6" s="144" t="s">
        <v>74</v>
      </c>
      <c r="L6" s="144" t="s">
        <v>65</v>
      </c>
      <c r="M6" s="144" t="s">
        <v>66</v>
      </c>
      <c r="N6" s="144" t="s">
        <v>67</v>
      </c>
      <c r="O6" s="144" t="s">
        <v>68</v>
      </c>
      <c r="P6" s="142" t="s">
        <v>75</v>
      </c>
      <c r="Q6" s="146" t="s">
        <v>64</v>
      </c>
      <c r="R6" s="158" t="s">
        <v>579</v>
      </c>
      <c r="S6" s="142" t="s">
        <v>76</v>
      </c>
      <c r="T6" s="145" t="s">
        <v>580</v>
      </c>
    </row>
    <row r="7" spans="1:20" x14ac:dyDescent="0.25">
      <c r="A7" s="13"/>
      <c r="B7" s="14" t="s">
        <v>1189</v>
      </c>
      <c r="C7" s="14" t="s">
        <v>1189</v>
      </c>
      <c r="D7" s="71" t="s">
        <v>1190</v>
      </c>
      <c r="E7" s="71" t="s">
        <v>1191</v>
      </c>
      <c r="F7" s="71" t="s">
        <v>6</v>
      </c>
      <c r="G7" s="71" t="s">
        <v>1192</v>
      </c>
      <c r="H7" s="14" t="s">
        <v>1192</v>
      </c>
      <c r="I7" s="14" t="s">
        <v>1192</v>
      </c>
      <c r="J7" s="15" t="s">
        <v>528</v>
      </c>
      <c r="K7" s="60" t="s">
        <v>1193</v>
      </c>
      <c r="L7" s="16" t="s">
        <v>1194</v>
      </c>
      <c r="M7" s="16" t="s">
        <v>814</v>
      </c>
      <c r="N7" s="16" t="s">
        <v>1195</v>
      </c>
      <c r="O7" s="16" t="s">
        <v>1195</v>
      </c>
      <c r="P7" s="15" t="s">
        <v>1196</v>
      </c>
      <c r="Q7" s="62" t="s">
        <v>1197</v>
      </c>
      <c r="R7" s="62" t="s">
        <v>1198</v>
      </c>
      <c r="S7" s="62" t="s">
        <v>1199</v>
      </c>
      <c r="T7" s="40" t="s">
        <v>1200</v>
      </c>
    </row>
    <row r="8" spans="1:20" x14ac:dyDescent="0.25">
      <c r="A8" s="13"/>
      <c r="B8" s="14" t="s">
        <v>1201</v>
      </c>
      <c r="C8" s="14" t="s">
        <v>1201</v>
      </c>
      <c r="D8" s="71" t="s">
        <v>12</v>
      </c>
      <c r="E8" s="27" t="s">
        <v>1202</v>
      </c>
      <c r="F8" s="61" t="s">
        <v>121</v>
      </c>
      <c r="G8" s="71" t="s">
        <v>608</v>
      </c>
      <c r="H8" s="14" t="s">
        <v>1203</v>
      </c>
      <c r="I8" s="14" t="s">
        <v>1203</v>
      </c>
      <c r="J8" s="38" t="s">
        <v>1086</v>
      </c>
      <c r="K8" s="98" t="s">
        <v>1204</v>
      </c>
      <c r="L8" s="37" t="s">
        <v>1205</v>
      </c>
      <c r="M8" s="16" t="s">
        <v>493</v>
      </c>
      <c r="N8" s="14" t="s">
        <v>1206</v>
      </c>
      <c r="O8" s="16" t="s">
        <v>1207</v>
      </c>
      <c r="P8" s="25" t="s">
        <v>600</v>
      </c>
      <c r="Q8" s="43" t="s">
        <v>117</v>
      </c>
      <c r="R8" s="25" t="s">
        <v>1201</v>
      </c>
      <c r="S8" s="32" t="s">
        <v>591</v>
      </c>
      <c r="T8" s="40" t="s">
        <v>1208</v>
      </c>
    </row>
    <row r="9" spans="1:20" x14ac:dyDescent="0.25">
      <c r="A9" s="13"/>
      <c r="B9" s="108" t="s">
        <v>1209</v>
      </c>
      <c r="C9" s="57" t="s">
        <v>1210</v>
      </c>
      <c r="D9" s="17" t="s">
        <v>1211</v>
      </c>
      <c r="E9" s="38" t="s">
        <v>1212</v>
      </c>
      <c r="F9" s="61"/>
      <c r="G9" s="38" t="s">
        <v>617</v>
      </c>
      <c r="H9" s="63" t="s">
        <v>654</v>
      </c>
      <c r="I9" s="25" t="s">
        <v>641</v>
      </c>
      <c r="J9" s="38" t="s">
        <v>259</v>
      </c>
      <c r="K9" s="25" t="s">
        <v>1213</v>
      </c>
      <c r="L9" s="25" t="s">
        <v>118</v>
      </c>
      <c r="M9" s="37" t="s">
        <v>1214</v>
      </c>
      <c r="N9" s="37" t="s">
        <v>1215</v>
      </c>
      <c r="O9" s="47" t="s">
        <v>671</v>
      </c>
      <c r="P9" s="25" t="s">
        <v>127</v>
      </c>
      <c r="Q9" s="117" t="s">
        <v>1216</v>
      </c>
      <c r="R9" s="42"/>
      <c r="S9" s="32" t="s">
        <v>1171</v>
      </c>
      <c r="T9" s="40" t="s">
        <v>93</v>
      </c>
    </row>
    <row r="10" spans="1:20" x14ac:dyDescent="0.25">
      <c r="A10" s="13"/>
      <c r="B10" s="163" t="s">
        <v>1217</v>
      </c>
      <c r="C10" s="69" t="s">
        <v>1218</v>
      </c>
      <c r="D10" s="17" t="s">
        <v>1219</v>
      </c>
      <c r="E10" s="38" t="s">
        <v>1220</v>
      </c>
      <c r="F10" s="64" t="s">
        <v>1221</v>
      </c>
      <c r="G10" s="48" t="s">
        <v>1222</v>
      </c>
      <c r="H10" s="38" t="s">
        <v>640</v>
      </c>
      <c r="I10" s="25" t="s">
        <v>1223</v>
      </c>
      <c r="J10" s="38"/>
      <c r="K10" s="25" t="s">
        <v>1224</v>
      </c>
      <c r="L10" s="157" t="s">
        <v>40</v>
      </c>
      <c r="M10" s="37" t="s">
        <v>669</v>
      </c>
      <c r="N10" s="38" t="s">
        <v>1225</v>
      </c>
      <c r="O10" s="38" t="s">
        <v>1226</v>
      </c>
      <c r="P10" s="25" t="s">
        <v>611</v>
      </c>
      <c r="Q10" s="25" t="s">
        <v>1227</v>
      </c>
      <c r="R10" s="25"/>
      <c r="S10" s="32" t="s">
        <v>1173</v>
      </c>
      <c r="T10" s="44" t="s">
        <v>97</v>
      </c>
    </row>
    <row r="11" spans="1:20" ht="16.5" x14ac:dyDescent="0.3">
      <c r="A11" s="13"/>
      <c r="B11" s="163" t="s">
        <v>1228</v>
      </c>
      <c r="C11" s="38" t="s">
        <v>1229</v>
      </c>
      <c r="D11" s="67" t="s">
        <v>1230</v>
      </c>
      <c r="E11" s="38"/>
      <c r="F11" s="37" t="s">
        <v>136</v>
      </c>
      <c r="G11" s="48" t="s">
        <v>1231</v>
      </c>
      <c r="H11" s="38" t="s">
        <v>1232</v>
      </c>
      <c r="I11" s="38" t="s">
        <v>676</v>
      </c>
      <c r="J11" s="15"/>
      <c r="K11" s="25" t="s">
        <v>652</v>
      </c>
      <c r="L11" s="20" t="s">
        <v>547</v>
      </c>
      <c r="M11" s="24"/>
      <c r="N11" s="38" t="s">
        <v>1233</v>
      </c>
      <c r="O11" s="38" t="s">
        <v>1234</v>
      </c>
      <c r="P11" s="25" t="s">
        <v>1235</v>
      </c>
      <c r="Q11" s="25" t="s">
        <v>1236</v>
      </c>
      <c r="R11" s="43"/>
      <c r="S11" s="32" t="s">
        <v>1175</v>
      </c>
      <c r="T11" s="41"/>
    </row>
    <row r="12" spans="1:20" ht="16.5" x14ac:dyDescent="0.3">
      <c r="A12" s="13"/>
      <c r="B12" s="163" t="s">
        <v>1237</v>
      </c>
      <c r="C12" s="108" t="s">
        <v>636</v>
      </c>
      <c r="D12" s="89" t="s">
        <v>1238</v>
      </c>
      <c r="E12" s="38"/>
      <c r="F12" s="37" t="s">
        <v>151</v>
      </c>
      <c r="G12" s="14" t="s">
        <v>1239</v>
      </c>
      <c r="H12" s="25" t="s">
        <v>1240</v>
      </c>
      <c r="I12" s="111" t="s">
        <v>1241</v>
      </c>
      <c r="J12" s="38"/>
      <c r="K12" s="25" t="s">
        <v>1242</v>
      </c>
      <c r="L12" s="32" t="s">
        <v>163</v>
      </c>
      <c r="M12" s="14" t="s">
        <v>1243</v>
      </c>
      <c r="N12" s="26" t="s">
        <v>1244</v>
      </c>
      <c r="O12" s="26" t="s">
        <v>1245</v>
      </c>
      <c r="P12" s="38" t="s">
        <v>1246</v>
      </c>
      <c r="Q12" s="25" t="s">
        <v>1247</v>
      </c>
      <c r="R12" s="117"/>
      <c r="S12" s="32" t="s">
        <v>1174</v>
      </c>
      <c r="T12" s="41"/>
    </row>
    <row r="13" spans="1:20" ht="16.5" x14ac:dyDescent="0.3">
      <c r="A13" s="13"/>
      <c r="B13" s="154" t="s">
        <v>602</v>
      </c>
      <c r="C13" s="38" t="s">
        <v>1248</v>
      </c>
      <c r="D13" s="38" t="s">
        <v>1249</v>
      </c>
      <c r="E13" s="22"/>
      <c r="F13" s="37"/>
      <c r="G13" s="111" t="s">
        <v>665</v>
      </c>
      <c r="H13" s="14" t="s">
        <v>1239</v>
      </c>
      <c r="I13" s="111" t="s">
        <v>1250</v>
      </c>
      <c r="J13" s="25"/>
      <c r="K13" s="38" t="s">
        <v>1251</v>
      </c>
      <c r="L13" s="32" t="s">
        <v>176</v>
      </c>
      <c r="M13" s="37" t="s">
        <v>1252</v>
      </c>
      <c r="N13" s="49" t="s">
        <v>1253</v>
      </c>
      <c r="O13" s="47" t="s">
        <v>1254</v>
      </c>
      <c r="P13" s="67" t="s">
        <v>1255</v>
      </c>
      <c r="Q13" s="25" t="s">
        <v>612</v>
      </c>
      <c r="R13" s="42"/>
      <c r="S13" s="32" t="s">
        <v>1256</v>
      </c>
      <c r="T13" s="41"/>
    </row>
    <row r="14" spans="1:20" ht="16.5" x14ac:dyDescent="0.3">
      <c r="A14" s="13"/>
      <c r="B14" s="25" t="s">
        <v>1257</v>
      </c>
      <c r="C14" s="38" t="s">
        <v>662</v>
      </c>
      <c r="D14" s="37" t="s">
        <v>637</v>
      </c>
      <c r="E14" s="22"/>
      <c r="F14" s="19"/>
      <c r="G14" s="25"/>
      <c r="H14" s="38" t="s">
        <v>1258</v>
      </c>
      <c r="I14" s="14" t="s">
        <v>1239</v>
      </c>
      <c r="J14" s="23"/>
      <c r="K14" s="38" t="s">
        <v>1259</v>
      </c>
      <c r="L14" s="25"/>
      <c r="M14" s="37" t="s">
        <v>643</v>
      </c>
      <c r="N14" s="49" t="s">
        <v>644</v>
      </c>
      <c r="O14" s="47" t="s">
        <v>1260</v>
      </c>
      <c r="P14" s="25"/>
      <c r="Q14" s="42" t="s">
        <v>162</v>
      </c>
      <c r="R14" s="25"/>
      <c r="S14" s="32" t="s">
        <v>1261</v>
      </c>
      <c r="T14" s="41"/>
    </row>
    <row r="15" spans="1:20" ht="16.5" x14ac:dyDescent="0.3">
      <c r="A15" s="13"/>
      <c r="B15" s="32" t="s">
        <v>1126</v>
      </c>
      <c r="C15" s="154" t="s">
        <v>602</v>
      </c>
      <c r="D15" s="38" t="s">
        <v>1262</v>
      </c>
      <c r="E15" s="22"/>
      <c r="F15" s="19"/>
      <c r="G15" s="31"/>
      <c r="H15" s="38" t="s">
        <v>609</v>
      </c>
      <c r="I15" s="25" t="s">
        <v>1263</v>
      </c>
      <c r="J15" s="38"/>
      <c r="K15" s="38" t="s">
        <v>1264</v>
      </c>
      <c r="L15" s="25"/>
      <c r="M15" s="154" t="s">
        <v>36</v>
      </c>
      <c r="N15" s="119" t="s">
        <v>1265</v>
      </c>
      <c r="O15" s="38" t="s">
        <v>1266</v>
      </c>
      <c r="P15" s="25"/>
      <c r="Q15" s="42" t="s">
        <v>1267</v>
      </c>
      <c r="R15" s="42"/>
      <c r="S15" s="32" t="s">
        <v>195</v>
      </c>
      <c r="T15" s="41"/>
    </row>
    <row r="16" spans="1:20" x14ac:dyDescent="0.25">
      <c r="A16" s="13"/>
      <c r="B16" s="32" t="s">
        <v>1268</v>
      </c>
      <c r="C16" s="25" t="s">
        <v>1257</v>
      </c>
      <c r="D16" s="38" t="s">
        <v>1269</v>
      </c>
      <c r="F16" s="25"/>
      <c r="G16" s="155" t="s">
        <v>105</v>
      </c>
      <c r="H16" s="25" t="s">
        <v>685</v>
      </c>
      <c r="I16" s="25" t="s">
        <v>1270</v>
      </c>
      <c r="J16" s="25"/>
      <c r="K16" s="18" t="s">
        <v>1271</v>
      </c>
      <c r="L16" s="25"/>
      <c r="M16" s="39" t="s">
        <v>694</v>
      </c>
      <c r="N16" s="154" t="s">
        <v>1272</v>
      </c>
      <c r="O16" s="38" t="s">
        <v>659</v>
      </c>
      <c r="P16" s="25"/>
      <c r="Q16" s="42" t="s">
        <v>1273</v>
      </c>
      <c r="R16" s="42"/>
      <c r="S16" s="32" t="s">
        <v>204</v>
      </c>
      <c r="T16" s="45"/>
    </row>
    <row r="17" spans="1:22" x14ac:dyDescent="0.25">
      <c r="A17" s="13"/>
      <c r="B17" s="32" t="s">
        <v>1274</v>
      </c>
      <c r="C17" s="56" t="s">
        <v>491</v>
      </c>
      <c r="D17" s="48" t="s">
        <v>1275</v>
      </c>
      <c r="F17" s="25"/>
      <c r="G17" s="31" t="s">
        <v>691</v>
      </c>
      <c r="H17" s="25" t="s">
        <v>618</v>
      </c>
      <c r="I17" s="25" t="s">
        <v>619</v>
      </c>
      <c r="J17" s="25"/>
      <c r="K17" s="25" t="s">
        <v>1276</v>
      </c>
      <c r="L17" s="25"/>
      <c r="M17" s="30" t="s">
        <v>1277</v>
      </c>
      <c r="N17" s="39" t="s">
        <v>1278</v>
      </c>
      <c r="O17" s="38" t="s">
        <v>1279</v>
      </c>
      <c r="P17" s="25"/>
      <c r="Q17" s="48" t="s">
        <v>175</v>
      </c>
      <c r="R17" s="25"/>
      <c r="S17" s="32" t="s">
        <v>211</v>
      </c>
      <c r="T17" s="25"/>
    </row>
    <row r="18" spans="1:22" x14ac:dyDescent="0.25">
      <c r="A18" s="13"/>
      <c r="B18" s="32" t="s">
        <v>1280</v>
      </c>
      <c r="C18" s="56" t="s">
        <v>681</v>
      </c>
      <c r="D18" s="89" t="s">
        <v>259</v>
      </c>
      <c r="E18" s="21"/>
      <c r="F18" s="25"/>
      <c r="G18" s="31" t="s">
        <v>719</v>
      </c>
      <c r="H18" s="155" t="s">
        <v>105</v>
      </c>
      <c r="I18" s="111" t="s">
        <v>1281</v>
      </c>
      <c r="J18" s="38"/>
      <c r="K18" s="25" t="s">
        <v>1282</v>
      </c>
      <c r="L18" s="25"/>
      <c r="M18" s="32" t="s">
        <v>712</v>
      </c>
      <c r="N18" s="97" t="s">
        <v>1283</v>
      </c>
      <c r="O18" s="154" t="s">
        <v>1284</v>
      </c>
      <c r="P18" s="25"/>
      <c r="Q18" s="48" t="s">
        <v>1285</v>
      </c>
      <c r="R18" s="48"/>
      <c r="S18" s="32" t="s">
        <v>634</v>
      </c>
      <c r="T18" s="25"/>
    </row>
    <row r="19" spans="1:22" x14ac:dyDescent="0.25">
      <c r="A19" s="13"/>
      <c r="B19" s="32" t="s">
        <v>26</v>
      </c>
      <c r="C19" s="32" t="s">
        <v>1130</v>
      </c>
      <c r="D19" s="70" t="s">
        <v>1286</v>
      </c>
      <c r="E19" s="22"/>
      <c r="F19" s="25"/>
      <c r="G19" s="31" t="s">
        <v>729</v>
      </c>
      <c r="H19" s="68" t="s">
        <v>691</v>
      </c>
      <c r="I19" s="156" t="s">
        <v>40</v>
      </c>
      <c r="J19" s="38"/>
      <c r="K19" s="48" t="s">
        <v>1287</v>
      </c>
      <c r="L19" s="25"/>
      <c r="M19" s="32" t="s">
        <v>1288</v>
      </c>
      <c r="N19" s="32" t="s">
        <v>704</v>
      </c>
      <c r="O19" s="65" t="s">
        <v>622</v>
      </c>
      <c r="P19" s="25"/>
      <c r="R19" s="48"/>
      <c r="S19" s="25"/>
      <c r="T19" s="25"/>
    </row>
    <row r="20" spans="1:22" x14ac:dyDescent="0.25">
      <c r="A20" s="13"/>
      <c r="B20" s="32" t="s">
        <v>1289</v>
      </c>
      <c r="C20" s="32" t="s">
        <v>697</v>
      </c>
      <c r="D20" s="62" t="s">
        <v>1290</v>
      </c>
      <c r="E20" s="22"/>
      <c r="F20" s="25"/>
      <c r="G20" s="30" t="s">
        <v>737</v>
      </c>
      <c r="H20" s="46" t="s">
        <v>700</v>
      </c>
      <c r="I20" s="66" t="s">
        <v>547</v>
      </c>
      <c r="J20" s="28"/>
      <c r="K20" s="48" t="s">
        <v>1291</v>
      </c>
      <c r="L20" s="25"/>
      <c r="M20" s="32" t="s">
        <v>1292</v>
      </c>
      <c r="N20" s="32" t="s">
        <v>724</v>
      </c>
      <c r="O20" s="65" t="s">
        <v>705</v>
      </c>
      <c r="P20" s="25"/>
      <c r="R20" s="25"/>
      <c r="S20" s="25"/>
      <c r="T20" s="25"/>
    </row>
    <row r="21" spans="1:22" x14ac:dyDescent="0.25">
      <c r="A21" s="13"/>
      <c r="B21" s="25"/>
      <c r="C21" s="50" t="s">
        <v>707</v>
      </c>
      <c r="D21" s="56" t="s">
        <v>1293</v>
      </c>
      <c r="E21" s="22"/>
      <c r="F21" s="25"/>
      <c r="G21" s="32" t="s">
        <v>1294</v>
      </c>
      <c r="H21" s="30" t="s">
        <v>737</v>
      </c>
      <c r="I21" s="67" t="s">
        <v>689</v>
      </c>
      <c r="J21" s="29"/>
      <c r="K21" s="156" t="s">
        <v>40</v>
      </c>
      <c r="L21" s="25"/>
      <c r="M21" s="32" t="s">
        <v>1295</v>
      </c>
      <c r="N21" s="32" t="s">
        <v>1296</v>
      </c>
      <c r="O21" s="32" t="s">
        <v>1297</v>
      </c>
      <c r="P21" s="25"/>
      <c r="R21" s="25"/>
      <c r="S21" s="25"/>
      <c r="T21" s="25"/>
    </row>
    <row r="22" spans="1:22" x14ac:dyDescent="0.25">
      <c r="A22" s="13"/>
      <c r="B22" s="25"/>
      <c r="C22" s="50" t="s">
        <v>716</v>
      </c>
      <c r="D22" s="56" t="s">
        <v>672</v>
      </c>
      <c r="E22" s="31"/>
      <c r="F22" s="25"/>
      <c r="G22" s="32" t="s">
        <v>1298</v>
      </c>
      <c r="H22" s="32" t="s">
        <v>1299</v>
      </c>
      <c r="I22" s="67" t="s">
        <v>5</v>
      </c>
      <c r="J22" s="29"/>
      <c r="K22" s="72" t="s">
        <v>721</v>
      </c>
      <c r="L22" s="25"/>
      <c r="M22" s="32" t="s">
        <v>1300</v>
      </c>
      <c r="N22" s="32" t="s">
        <v>713</v>
      </c>
      <c r="O22" s="32" t="s">
        <v>724</v>
      </c>
      <c r="P22" s="25"/>
      <c r="R22" s="25"/>
      <c r="S22" s="25"/>
      <c r="T22" s="25"/>
    </row>
    <row r="23" spans="1:22" x14ac:dyDescent="0.25">
      <c r="A23" s="13"/>
      <c r="B23" s="43"/>
      <c r="C23" s="160"/>
      <c r="D23" s="161" t="s">
        <v>1301</v>
      </c>
      <c r="E23" s="31"/>
      <c r="F23" s="25"/>
      <c r="G23" s="32" t="s">
        <v>713</v>
      </c>
      <c r="H23" s="32" t="s">
        <v>1302</v>
      </c>
      <c r="I23" s="30" t="s">
        <v>1303</v>
      </c>
      <c r="J23" s="38"/>
      <c r="K23" s="72" t="s">
        <v>1304</v>
      </c>
      <c r="L23" s="25"/>
      <c r="M23" s="32" t="s">
        <v>1305</v>
      </c>
      <c r="N23" s="32" t="s">
        <v>1306</v>
      </c>
      <c r="O23" s="32" t="s">
        <v>1307</v>
      </c>
      <c r="P23" s="25"/>
      <c r="Q23" s="25"/>
      <c r="R23" s="25"/>
      <c r="S23" s="25"/>
      <c r="T23" s="25"/>
      <c r="V23" s="33" t="s">
        <v>751</v>
      </c>
    </row>
    <row r="24" spans="1:22" x14ac:dyDescent="0.25">
      <c r="A24" s="13"/>
      <c r="B24" s="25"/>
      <c r="C24" s="162"/>
      <c r="D24" s="31" t="s">
        <v>688</v>
      </c>
      <c r="E24" s="31"/>
      <c r="F24" s="25"/>
      <c r="G24" s="32" t="s">
        <v>1308</v>
      </c>
      <c r="H24" s="32" t="s">
        <v>1309</v>
      </c>
      <c r="I24" s="32" t="s">
        <v>1310</v>
      </c>
      <c r="J24" s="38"/>
      <c r="K24" s="72" t="s">
        <v>502</v>
      </c>
      <c r="L24" s="31"/>
      <c r="M24" s="31"/>
      <c r="N24" s="32" t="s">
        <v>733</v>
      </c>
      <c r="O24" s="32" t="s">
        <v>1311</v>
      </c>
      <c r="P24" s="25"/>
      <c r="Q24" s="25"/>
      <c r="R24" s="25"/>
      <c r="S24" s="25"/>
      <c r="T24" s="25"/>
    </row>
    <row r="25" spans="1:22" x14ac:dyDescent="0.25">
      <c r="A25" s="13"/>
      <c r="B25" s="25"/>
      <c r="C25" s="25"/>
      <c r="D25" s="32" t="s">
        <v>698</v>
      </c>
      <c r="E25" s="31"/>
      <c r="F25" s="25"/>
      <c r="G25" s="32" t="s">
        <v>1312</v>
      </c>
      <c r="H25" s="32" t="s">
        <v>1313</v>
      </c>
      <c r="I25" s="32" t="s">
        <v>1314</v>
      </c>
      <c r="J25" s="38"/>
      <c r="K25" s="30" t="s">
        <v>1315</v>
      </c>
      <c r="L25" s="25"/>
      <c r="M25" s="31"/>
      <c r="N25" s="32" t="s">
        <v>1316</v>
      </c>
      <c r="O25" s="32" t="s">
        <v>1317</v>
      </c>
      <c r="P25" s="25"/>
      <c r="Q25" s="25"/>
      <c r="R25" s="25"/>
      <c r="S25" s="25"/>
      <c r="T25" s="25"/>
    </row>
    <row r="26" spans="1:22" x14ac:dyDescent="0.25">
      <c r="A26" s="13"/>
      <c r="B26" s="25"/>
      <c r="C26" s="25"/>
      <c r="D26" s="32" t="s">
        <v>1318</v>
      </c>
      <c r="E26" s="31"/>
      <c r="F26" s="25"/>
      <c r="G26" s="32" t="s">
        <v>743</v>
      </c>
      <c r="H26" s="32" t="s">
        <v>746</v>
      </c>
      <c r="I26" s="32" t="s">
        <v>1319</v>
      </c>
      <c r="J26" s="38"/>
      <c r="K26" s="32" t="s">
        <v>1320</v>
      </c>
      <c r="L26" s="25"/>
      <c r="M26" s="31"/>
      <c r="N26" s="32" t="s">
        <v>1321</v>
      </c>
      <c r="O26" s="32" t="s">
        <v>1322</v>
      </c>
      <c r="P26" s="25"/>
      <c r="Q26" s="25"/>
      <c r="R26" s="25"/>
      <c r="S26" s="25"/>
      <c r="T26" s="25"/>
    </row>
    <row r="27" spans="1:22" x14ac:dyDescent="0.25">
      <c r="A27" s="13"/>
      <c r="B27" s="25"/>
      <c r="C27" s="25"/>
      <c r="D27" s="32" t="s">
        <v>717</v>
      </c>
      <c r="E27" s="31"/>
      <c r="F27" s="25"/>
      <c r="G27" s="31"/>
      <c r="H27" s="32" t="s">
        <v>1323</v>
      </c>
      <c r="I27" s="32" t="s">
        <v>759</v>
      </c>
      <c r="J27" s="38"/>
      <c r="K27" s="32" t="s">
        <v>1324</v>
      </c>
      <c r="L27" s="25"/>
      <c r="M27" s="31"/>
      <c r="N27" s="31"/>
      <c r="O27" s="32" t="s">
        <v>1325</v>
      </c>
      <c r="P27" s="25"/>
      <c r="Q27" s="25"/>
      <c r="R27" s="25"/>
      <c r="S27" s="25"/>
      <c r="T27" s="25"/>
    </row>
    <row r="28" spans="1:22" x14ac:dyDescent="0.25">
      <c r="A28" s="13"/>
      <c r="B28" s="25"/>
      <c r="C28" s="25"/>
      <c r="D28" s="32" t="s">
        <v>727</v>
      </c>
      <c r="E28" s="31"/>
      <c r="F28" s="25"/>
      <c r="G28" s="31"/>
      <c r="H28" s="32" t="s">
        <v>1326</v>
      </c>
      <c r="I28" s="32" t="s">
        <v>761</v>
      </c>
      <c r="J28" s="38"/>
      <c r="K28" s="32" t="s">
        <v>1327</v>
      </c>
      <c r="L28" s="25"/>
      <c r="M28" s="31"/>
      <c r="N28" s="31"/>
      <c r="O28" s="32" t="s">
        <v>1328</v>
      </c>
      <c r="P28" s="25"/>
      <c r="Q28" s="25"/>
      <c r="R28" s="25"/>
      <c r="S28" s="25"/>
      <c r="T28" s="25"/>
    </row>
    <row r="29" spans="1:22" ht="15.75" customHeight="1" x14ac:dyDescent="0.25">
      <c r="A29" s="13"/>
      <c r="B29" s="35"/>
      <c r="C29" s="35"/>
      <c r="D29" s="31"/>
      <c r="E29" s="31"/>
      <c r="F29" s="31"/>
      <c r="G29" s="31"/>
      <c r="H29" s="31"/>
      <c r="I29" s="34" t="s">
        <v>1329</v>
      </c>
      <c r="J29" s="38"/>
      <c r="K29" s="32" t="s">
        <v>728</v>
      </c>
      <c r="L29" s="31"/>
      <c r="M29" s="31"/>
      <c r="N29" s="31"/>
      <c r="O29" s="32" t="s">
        <v>1330</v>
      </c>
      <c r="P29" s="31"/>
      <c r="Q29" s="31"/>
      <c r="R29" s="31"/>
      <c r="S29" s="31"/>
      <c r="T29" s="31"/>
    </row>
    <row r="30" spans="1:22" x14ac:dyDescent="0.25">
      <c r="A30" s="13"/>
      <c r="B30" s="35"/>
      <c r="C30" s="35"/>
      <c r="D30" s="31"/>
      <c r="E30" s="31"/>
      <c r="F30" s="31"/>
      <c r="G30" s="31"/>
      <c r="H30" s="31"/>
      <c r="I30" s="34" t="s">
        <v>1298</v>
      </c>
      <c r="J30" s="38"/>
      <c r="K30" s="32" t="s">
        <v>1331</v>
      </c>
      <c r="L30" s="31"/>
      <c r="M30" s="31"/>
      <c r="N30" s="31"/>
      <c r="O30" s="32" t="s">
        <v>756</v>
      </c>
      <c r="P30" s="31"/>
      <c r="Q30" s="31"/>
      <c r="R30" s="31"/>
      <c r="S30" s="31"/>
      <c r="T30" s="31"/>
    </row>
    <row r="31" spans="1:22" x14ac:dyDescent="0.25">
      <c r="A31" s="13"/>
      <c r="B31" s="35"/>
      <c r="C31" s="35"/>
      <c r="D31" s="31"/>
      <c r="E31" s="31"/>
      <c r="F31" s="31"/>
      <c r="G31" s="31"/>
      <c r="H31" s="31"/>
      <c r="I31" s="153" t="s">
        <v>1332</v>
      </c>
      <c r="J31" s="38"/>
      <c r="K31" s="32" t="s">
        <v>1326</v>
      </c>
      <c r="L31" s="31"/>
      <c r="M31" s="31"/>
      <c r="N31" s="31"/>
      <c r="O31" s="31"/>
      <c r="P31" s="31"/>
      <c r="Q31" s="31"/>
      <c r="R31" s="31"/>
      <c r="S31" s="31"/>
      <c r="T31" s="31"/>
    </row>
    <row r="32" spans="1:22" x14ac:dyDescent="0.25">
      <c r="A32" s="13"/>
      <c r="B32" s="35"/>
      <c r="C32" s="35"/>
      <c r="D32" s="31"/>
      <c r="E32" s="31"/>
      <c r="F32" s="31"/>
      <c r="G32" s="31"/>
      <c r="H32" s="31"/>
      <c r="I32" s="31"/>
      <c r="J32" s="38"/>
      <c r="K32" s="32" t="s">
        <v>1333</v>
      </c>
      <c r="L32" s="31"/>
      <c r="M32" s="31"/>
      <c r="N32" s="31"/>
      <c r="O32" s="31"/>
      <c r="P32" s="31"/>
      <c r="Q32" s="31"/>
      <c r="R32" s="31"/>
      <c r="S32" s="31"/>
      <c r="T32" s="31"/>
    </row>
    <row r="33" spans="1:20" x14ac:dyDescent="0.25">
      <c r="A33" s="13"/>
      <c r="B33" s="35"/>
      <c r="C33" s="35"/>
      <c r="D33" s="31"/>
      <c r="E33" s="31"/>
      <c r="F33" s="31"/>
      <c r="G33" s="31"/>
      <c r="H33" s="31"/>
      <c r="I33" s="31"/>
      <c r="J33" s="38"/>
      <c r="K33" s="32" t="s">
        <v>1334</v>
      </c>
      <c r="L33" s="31"/>
      <c r="M33" s="31"/>
      <c r="N33" s="31"/>
      <c r="P33" s="31"/>
      <c r="Q33" s="31"/>
      <c r="R33" s="31"/>
      <c r="S33" s="31"/>
      <c r="T33" s="31"/>
    </row>
    <row r="34" spans="1:20" x14ac:dyDescent="0.25">
      <c r="A34" s="13"/>
      <c r="B34" s="35"/>
      <c r="C34" s="35"/>
      <c r="D34" s="31"/>
      <c r="E34" s="31"/>
      <c r="F34" s="31"/>
      <c r="G34" s="31"/>
      <c r="H34" s="31"/>
      <c r="I34" s="31"/>
      <c r="J34" s="38"/>
      <c r="K34" s="32" t="s">
        <v>188</v>
      </c>
      <c r="L34" s="31"/>
      <c r="M34" s="31"/>
      <c r="N34" s="31"/>
      <c r="O34" s="31"/>
      <c r="P34" s="31"/>
      <c r="Q34" s="31"/>
      <c r="R34" s="31"/>
      <c r="S34" s="31"/>
      <c r="T34" s="31"/>
    </row>
    <row r="35" spans="1:20" x14ac:dyDescent="0.25">
      <c r="A35" s="13"/>
      <c r="B35" s="35"/>
      <c r="C35" s="35"/>
      <c r="D35" s="31"/>
      <c r="E35" s="31"/>
      <c r="F35" s="31"/>
      <c r="G35" s="31"/>
      <c r="H35" s="31"/>
      <c r="I35" s="31"/>
      <c r="J35" s="38"/>
      <c r="K35" s="32" t="s">
        <v>1335</v>
      </c>
      <c r="L35" s="31"/>
      <c r="M35" s="31"/>
      <c r="N35" s="31"/>
      <c r="O35" s="31"/>
      <c r="P35" s="31"/>
      <c r="Q35" s="31"/>
      <c r="R35" s="31"/>
      <c r="S35" s="31"/>
      <c r="T35" s="31"/>
    </row>
    <row r="36" spans="1:20" x14ac:dyDescent="0.25">
      <c r="A36" s="13"/>
      <c r="B36" s="35"/>
      <c r="C36" s="35"/>
      <c r="D36" s="31"/>
      <c r="E36" s="31"/>
      <c r="F36" s="31"/>
      <c r="G36" s="31"/>
      <c r="H36" s="31"/>
      <c r="I36" s="31"/>
      <c r="J36" s="38"/>
      <c r="K36" s="32" t="s">
        <v>1336</v>
      </c>
      <c r="L36" s="31"/>
      <c r="M36" s="31"/>
      <c r="N36" s="31"/>
      <c r="O36" s="31"/>
      <c r="P36" s="31"/>
      <c r="Q36" s="31"/>
      <c r="R36" s="31"/>
      <c r="S36" s="31"/>
      <c r="T36" s="31"/>
    </row>
    <row r="37" spans="1:20" x14ac:dyDescent="0.25">
      <c r="A37" s="13"/>
      <c r="B37" s="35"/>
      <c r="C37" s="35"/>
      <c r="D37" s="31"/>
      <c r="E37" s="31"/>
      <c r="F37" s="31"/>
      <c r="G37" s="31"/>
      <c r="H37" s="31"/>
      <c r="I37" s="31"/>
      <c r="J37" s="38"/>
      <c r="K37" s="32" t="s">
        <v>1337</v>
      </c>
      <c r="L37" s="31"/>
      <c r="M37" s="31"/>
      <c r="N37" s="31"/>
      <c r="O37" s="31"/>
      <c r="P37" s="31"/>
      <c r="Q37" s="31"/>
      <c r="R37" s="31"/>
      <c r="S37" s="31"/>
      <c r="T37" s="31"/>
    </row>
    <row r="38" spans="1:20" x14ac:dyDescent="0.25">
      <c r="A38" s="13"/>
      <c r="B38" s="35"/>
      <c r="C38" s="35"/>
      <c r="D38" s="31"/>
      <c r="E38" s="31"/>
      <c r="F38" s="31"/>
      <c r="G38" s="31"/>
      <c r="H38" s="31"/>
      <c r="I38" s="31"/>
      <c r="J38" s="38"/>
      <c r="K38" s="32" t="s">
        <v>1338</v>
      </c>
      <c r="L38" s="31"/>
      <c r="M38" s="31"/>
      <c r="N38" s="31"/>
      <c r="O38" s="31"/>
      <c r="P38" s="31"/>
      <c r="Q38" s="31"/>
      <c r="R38" s="31"/>
      <c r="S38" s="31"/>
      <c r="T38" s="31"/>
    </row>
    <row r="39" spans="1:20" x14ac:dyDescent="0.25">
      <c r="A39" s="13"/>
      <c r="B39" s="35"/>
      <c r="C39" s="35"/>
      <c r="D39" s="31"/>
      <c r="E39" s="31"/>
      <c r="F39" s="31"/>
      <c r="G39" s="31"/>
      <c r="H39" s="31"/>
      <c r="I39" s="31"/>
      <c r="J39" s="38"/>
      <c r="K39" s="32" t="s">
        <v>1339</v>
      </c>
      <c r="L39" s="31"/>
      <c r="M39" s="31"/>
      <c r="N39" s="31"/>
      <c r="O39" s="31"/>
      <c r="P39" s="31"/>
      <c r="Q39" s="31"/>
      <c r="R39" s="31"/>
      <c r="S39" s="31"/>
      <c r="T39" s="31"/>
    </row>
    <row r="40" spans="1:20" x14ac:dyDescent="0.25">
      <c r="A40" s="13"/>
      <c r="B40" s="35"/>
      <c r="C40" s="35"/>
      <c r="D40" s="31"/>
      <c r="E40" s="31"/>
      <c r="F40" s="31"/>
      <c r="G40" s="31"/>
      <c r="H40" s="31"/>
      <c r="I40" s="38"/>
      <c r="J40" s="38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spans="1:20" x14ac:dyDescent="0.25">
      <c r="A41" s="13"/>
      <c r="B41" s="35"/>
      <c r="C41" s="35"/>
      <c r="D41" s="31"/>
      <c r="E41" s="31"/>
      <c r="F41" s="31"/>
      <c r="G41" s="31"/>
      <c r="H41" s="31"/>
      <c r="I41" s="38"/>
      <c r="J41" s="38"/>
      <c r="K41" s="31"/>
      <c r="L41" s="31"/>
      <c r="M41" s="31"/>
      <c r="N41" s="31"/>
      <c r="O41" s="31"/>
      <c r="P41" s="31"/>
      <c r="Q41" s="31"/>
      <c r="R41" s="31"/>
      <c r="S41" s="31"/>
      <c r="T41" s="31"/>
    </row>
    <row r="42" spans="1:20" x14ac:dyDescent="0.25">
      <c r="A42" s="13"/>
      <c r="B42" s="35"/>
      <c r="C42" s="35"/>
      <c r="D42" s="31"/>
      <c r="E42" s="31"/>
      <c r="F42" s="31"/>
      <c r="G42" s="31"/>
      <c r="H42" s="31"/>
      <c r="I42" s="38"/>
      <c r="J42" s="38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 spans="1:20" x14ac:dyDescent="0.25">
      <c r="A43" s="13"/>
      <c r="B43" s="35"/>
      <c r="C43" s="35"/>
      <c r="D43" s="31"/>
      <c r="E43" s="31"/>
      <c r="F43" s="31"/>
      <c r="G43" s="31"/>
      <c r="H43" s="31"/>
      <c r="I43" s="38"/>
      <c r="J43" s="38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 spans="1:20" x14ac:dyDescent="0.25">
      <c r="A44" s="13"/>
      <c r="B44" s="35">
        <v>2</v>
      </c>
      <c r="C44" s="35">
        <v>1</v>
      </c>
      <c r="D44" s="31">
        <v>2</v>
      </c>
      <c r="E44" s="31">
        <v>3</v>
      </c>
      <c r="F44" s="31">
        <v>1</v>
      </c>
      <c r="G44" s="31"/>
      <c r="H44" s="31">
        <v>6</v>
      </c>
      <c r="I44" s="31"/>
      <c r="J44" s="31"/>
      <c r="K44" s="31">
        <v>4</v>
      </c>
      <c r="L44" s="31">
        <v>0</v>
      </c>
      <c r="M44" s="31">
        <v>3</v>
      </c>
      <c r="N44" s="31">
        <v>2</v>
      </c>
      <c r="O44" s="31"/>
      <c r="P44" s="31">
        <v>4</v>
      </c>
      <c r="Q44" s="31">
        <v>2</v>
      </c>
      <c r="R44" s="31"/>
      <c r="S44" s="31">
        <v>2</v>
      </c>
      <c r="T44" s="31">
        <v>2</v>
      </c>
    </row>
    <row r="45" spans="1:20" x14ac:dyDescent="0.25">
      <c r="A45" s="13"/>
      <c r="B45" s="35"/>
      <c r="C45" s="35">
        <v>1</v>
      </c>
      <c r="D45" s="31"/>
      <c r="E45" s="31"/>
      <c r="F45" s="31"/>
      <c r="G45" s="31"/>
      <c r="H45" s="31">
        <v>4</v>
      </c>
      <c r="I45" s="31">
        <v>5</v>
      </c>
      <c r="J45" s="31"/>
      <c r="K45" s="31">
        <v>2</v>
      </c>
      <c r="L45" s="31"/>
      <c r="M45" s="31">
        <v>2</v>
      </c>
      <c r="N45" s="31"/>
      <c r="O45" s="31"/>
      <c r="P45" s="31"/>
      <c r="Q45" s="31"/>
      <c r="R45" s="31"/>
      <c r="S45" s="31"/>
      <c r="T45" s="31"/>
    </row>
    <row r="46" spans="1:20" s="141" customFormat="1" ht="15" x14ac:dyDescent="0.25">
      <c r="A46" s="138"/>
      <c r="B46" s="693" t="s">
        <v>1340</v>
      </c>
      <c r="C46" s="693"/>
      <c r="D46" s="694" t="s">
        <v>98</v>
      </c>
      <c r="E46" s="695"/>
      <c r="F46" s="139" t="s">
        <v>110</v>
      </c>
      <c r="G46" s="139"/>
      <c r="H46" s="140" t="s">
        <v>1341</v>
      </c>
      <c r="I46" s="25">
        <v>4</v>
      </c>
      <c r="J46" s="138"/>
      <c r="K46" s="139" t="s">
        <v>102</v>
      </c>
      <c r="L46" s="139" t="s">
        <v>1342</v>
      </c>
    </row>
    <row r="47" spans="1:20" x14ac:dyDescent="0.25">
      <c r="A47" s="13"/>
      <c r="D47" s="13"/>
      <c r="E47" s="13"/>
      <c r="F47" s="13"/>
      <c r="G47" s="13"/>
      <c r="H47" s="13"/>
      <c r="I47" s="36" t="s">
        <v>1343</v>
      </c>
      <c r="J47" s="36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51" spans="1:14" ht="15.75" customHeight="1" x14ac:dyDescent="0.2">
      <c r="A51" s="52" t="s">
        <v>536</v>
      </c>
      <c r="B51" s="51">
        <v>2</v>
      </c>
      <c r="C51" s="51">
        <v>2</v>
      </c>
      <c r="D51" s="51">
        <v>2</v>
      </c>
      <c r="E51" s="51">
        <v>1</v>
      </c>
      <c r="F51" s="51">
        <v>2</v>
      </c>
      <c r="G51" s="51">
        <v>5</v>
      </c>
      <c r="H51" s="51">
        <v>6</v>
      </c>
      <c r="I51" s="53">
        <v>9</v>
      </c>
      <c r="J51" s="53"/>
      <c r="K51" s="51">
        <v>7</v>
      </c>
      <c r="L51" s="51">
        <v>2</v>
      </c>
      <c r="M51" s="51">
        <v>5</v>
      </c>
      <c r="N51" s="54">
        <v>5</v>
      </c>
    </row>
    <row r="52" spans="1:14" ht="15.75" customHeight="1" x14ac:dyDescent="0.2">
      <c r="A52" s="52" t="s">
        <v>537</v>
      </c>
      <c r="B52" s="51">
        <v>3</v>
      </c>
      <c r="C52" s="51">
        <v>4</v>
      </c>
      <c r="D52" s="51">
        <v>3</v>
      </c>
      <c r="E52" s="51">
        <v>1</v>
      </c>
      <c r="F52" s="51"/>
      <c r="G52" s="51">
        <v>2</v>
      </c>
      <c r="H52" s="51">
        <v>2</v>
      </c>
      <c r="I52" s="51">
        <v>1</v>
      </c>
      <c r="J52" s="51"/>
      <c r="K52" s="51">
        <v>2</v>
      </c>
      <c r="L52" s="51">
        <v>1</v>
      </c>
      <c r="M52" s="51">
        <v>3</v>
      </c>
      <c r="N52" s="54">
        <v>6</v>
      </c>
    </row>
    <row r="53" spans="1:14" ht="15.75" customHeight="1" x14ac:dyDescent="0.2">
      <c r="A53" s="55" t="s">
        <v>538</v>
      </c>
      <c r="B53" s="51">
        <v>2</v>
      </c>
      <c r="C53" s="51">
        <v>1</v>
      </c>
      <c r="D53" s="51"/>
      <c r="E53" s="51"/>
      <c r="F53" s="51"/>
      <c r="G53" s="51">
        <v>3</v>
      </c>
      <c r="H53" s="51">
        <v>3</v>
      </c>
      <c r="I53" s="51">
        <v>5</v>
      </c>
      <c r="J53" s="51"/>
      <c r="K53" s="51">
        <v>4</v>
      </c>
      <c r="L53" s="51">
        <v>2</v>
      </c>
      <c r="M53" s="51">
        <v>3</v>
      </c>
      <c r="N53" s="54">
        <v>2</v>
      </c>
    </row>
    <row r="54" spans="1:14" ht="15.75" customHeight="1" x14ac:dyDescent="0.2">
      <c r="A54" s="55" t="s">
        <v>539</v>
      </c>
      <c r="B54" s="51">
        <v>5</v>
      </c>
      <c r="C54" s="51">
        <v>4</v>
      </c>
      <c r="D54" s="51"/>
      <c r="E54" s="51"/>
      <c r="F54" s="51"/>
      <c r="G54" s="51">
        <v>3</v>
      </c>
      <c r="H54" s="51">
        <v>5</v>
      </c>
      <c r="I54" s="51">
        <v>6</v>
      </c>
      <c r="J54" s="51"/>
      <c r="K54" s="51">
        <v>10</v>
      </c>
      <c r="L54" s="51">
        <v>1</v>
      </c>
      <c r="M54" s="51">
        <v>5</v>
      </c>
      <c r="N54" s="54">
        <v>7</v>
      </c>
    </row>
    <row r="55" spans="1:14" s="121" customFormat="1" ht="15.75" customHeight="1" x14ac:dyDescent="0.3">
      <c r="A55" s="120" t="s">
        <v>540</v>
      </c>
      <c r="B55" s="305">
        <f t="shared" ref="B55:C55" si="0">SUM(B51:B54)</f>
        <v>12</v>
      </c>
      <c r="C55" s="305">
        <f t="shared" si="0"/>
        <v>11</v>
      </c>
      <c r="D55" s="305">
        <f>SUM(D51:D54)</f>
        <v>5</v>
      </c>
      <c r="E55" s="305">
        <f>SUM(E51:E54)</f>
        <v>2</v>
      </c>
      <c r="F55" s="305">
        <f>SUM(F51:F54)</f>
        <v>2</v>
      </c>
      <c r="G55" s="305">
        <f>SUM(G51:G54)</f>
        <v>13</v>
      </c>
      <c r="H55" s="305">
        <f>SUM(H51:H54)</f>
        <v>16</v>
      </c>
      <c r="I55" s="305">
        <f t="shared" ref="I55:N55" si="1">SUM(I51:I54)</f>
        <v>21</v>
      </c>
      <c r="J55" s="305"/>
      <c r="K55" s="305">
        <f t="shared" si="1"/>
        <v>23</v>
      </c>
      <c r="L55" s="305">
        <f t="shared" si="1"/>
        <v>6</v>
      </c>
      <c r="M55" s="305">
        <f t="shared" si="1"/>
        <v>16</v>
      </c>
      <c r="N55" s="305">
        <f t="shared" si="1"/>
        <v>20</v>
      </c>
    </row>
  </sheetData>
  <mergeCells count="2">
    <mergeCell ref="B46:C46"/>
    <mergeCell ref="D46:E46"/>
  </mergeCells>
  <conditionalFormatting sqref="A5:AF5">
    <cfRule type="notContainsBlanks" dxfId="20" priority="2">
      <formula>LEN(TRIM(A5))&gt;0</formula>
    </cfRule>
  </conditionalFormatting>
  <printOptions horizontalCentered="1"/>
  <pageMargins left="0.7" right="0.7" top="0.75" bottom="0.75" header="0" footer="0"/>
  <pageSetup paperSize="3" scale="92" pageOrder="overThenDown" orientation="landscape" cellComments="atEnd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9233-C9B7-46D0-9F24-6041BB0A2498}">
  <sheetPr>
    <outlinePr summaryBelow="0" summaryRight="0"/>
  </sheetPr>
  <dimension ref="A1:AV19"/>
  <sheetViews>
    <sheetView workbookViewId="0">
      <selection activeCell="N11" sqref="N11"/>
    </sheetView>
  </sheetViews>
  <sheetFormatPr defaultColWidth="14.42578125" defaultRowHeight="15.75" customHeight="1" x14ac:dyDescent="0.2"/>
  <cols>
    <col min="2" max="2" width="17.42578125" bestFit="1" customWidth="1"/>
    <col min="3" max="3" width="18.7109375" customWidth="1"/>
    <col min="4" max="4" width="21" bestFit="1" customWidth="1"/>
    <col min="5" max="5" width="20.85546875" customWidth="1"/>
    <col min="6" max="6" width="13.42578125" bestFit="1" customWidth="1"/>
    <col min="7" max="7" width="16.140625" bestFit="1" customWidth="1"/>
    <col min="8" max="8" width="16.42578125" bestFit="1" customWidth="1"/>
    <col min="9" max="9" width="17.42578125" customWidth="1"/>
    <col min="10" max="10" width="22.28515625" bestFit="1" customWidth="1"/>
    <col min="11" max="11" width="14.42578125" bestFit="1" customWidth="1"/>
    <col min="12" max="12" width="23.7109375" customWidth="1"/>
    <col min="13" max="13" width="18.42578125" bestFit="1" customWidth="1"/>
    <col min="14" max="14" width="19.7109375" customWidth="1"/>
    <col min="15" max="15" width="18.42578125" customWidth="1"/>
    <col min="16" max="16" width="25.42578125" bestFit="1" customWidth="1"/>
    <col min="17" max="17" width="26.7109375" bestFit="1" customWidth="1"/>
    <col min="18" max="18" width="25.140625" bestFit="1" customWidth="1"/>
    <col min="19" max="19" width="24.7109375" customWidth="1"/>
    <col min="20" max="20" width="15.85546875" style="123" bestFit="1" customWidth="1"/>
    <col min="21" max="21" width="20.85546875" style="123" customWidth="1"/>
    <col min="22" max="48" width="14.42578125" style="123"/>
  </cols>
  <sheetData>
    <row r="1" spans="1:19" s="173" customFormat="1" ht="27" customHeight="1" x14ac:dyDescent="0.2">
      <c r="A1" s="696"/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8"/>
    </row>
    <row r="2" spans="1:19" ht="38.25" customHeight="1" x14ac:dyDescent="0.2">
      <c r="A2" s="169" t="s">
        <v>1344</v>
      </c>
      <c r="B2" s="169" t="s">
        <v>1345</v>
      </c>
      <c r="C2" s="168" t="s">
        <v>63</v>
      </c>
      <c r="D2" s="168" t="s">
        <v>576</v>
      </c>
      <c r="E2" s="169" t="s">
        <v>69</v>
      </c>
      <c r="F2" s="168" t="s">
        <v>577</v>
      </c>
      <c r="G2" s="168" t="s">
        <v>578</v>
      </c>
      <c r="H2" s="168" t="s">
        <v>73</v>
      </c>
      <c r="I2" s="169" t="s">
        <v>527</v>
      </c>
      <c r="J2" s="168" t="s">
        <v>74</v>
      </c>
      <c r="K2" s="168" t="s">
        <v>65</v>
      </c>
      <c r="L2" s="168" t="s">
        <v>66</v>
      </c>
      <c r="M2" s="168" t="s">
        <v>67</v>
      </c>
      <c r="N2" s="168" t="s">
        <v>68</v>
      </c>
      <c r="O2" s="168" t="s">
        <v>75</v>
      </c>
      <c r="P2" s="169" t="s">
        <v>64</v>
      </c>
      <c r="Q2" s="170" t="s">
        <v>579</v>
      </c>
      <c r="R2" s="168" t="s">
        <v>76</v>
      </c>
      <c r="S2" s="171" t="s">
        <v>580</v>
      </c>
    </row>
    <row r="3" spans="1:19" s="75" customFormat="1" ht="18.75" x14ac:dyDescent="0.3">
      <c r="A3" s="187" t="s">
        <v>1346</v>
      </c>
      <c r="B3" s="307" t="s">
        <v>112</v>
      </c>
      <c r="C3" s="307" t="s">
        <v>112</v>
      </c>
      <c r="D3" s="308" t="s">
        <v>112</v>
      </c>
      <c r="E3" s="309" t="s">
        <v>1347</v>
      </c>
      <c r="F3" s="310" t="s">
        <v>112</v>
      </c>
      <c r="G3" s="311" t="s">
        <v>112</v>
      </c>
      <c r="H3" s="307" t="s">
        <v>112</v>
      </c>
      <c r="I3" s="312" t="s">
        <v>112</v>
      </c>
      <c r="J3" s="313" t="s">
        <v>112</v>
      </c>
      <c r="K3" s="313" t="s">
        <v>112</v>
      </c>
      <c r="L3" s="313" t="s">
        <v>80</v>
      </c>
      <c r="M3" s="313" t="s">
        <v>112</v>
      </c>
      <c r="N3" s="313" t="s">
        <v>112</v>
      </c>
      <c r="O3" s="312" t="s">
        <v>112</v>
      </c>
      <c r="P3" s="312" t="s">
        <v>80</v>
      </c>
      <c r="Q3" s="314" t="s">
        <v>112</v>
      </c>
      <c r="R3" s="315" t="s">
        <v>1348</v>
      </c>
      <c r="S3" s="316" t="s">
        <v>1200</v>
      </c>
    </row>
    <row r="4" spans="1:19" x14ac:dyDescent="0.2">
      <c r="A4" s="176" t="s">
        <v>1349</v>
      </c>
      <c r="B4" s="317" t="s">
        <v>582</v>
      </c>
      <c r="C4" s="193" t="s">
        <v>1219</v>
      </c>
      <c r="D4" s="318" t="s">
        <v>1350</v>
      </c>
      <c r="E4" s="198" t="s">
        <v>6</v>
      </c>
      <c r="F4" s="319" t="s">
        <v>608</v>
      </c>
      <c r="G4" s="320" t="s">
        <v>1203</v>
      </c>
      <c r="H4" s="321" t="s">
        <v>1203</v>
      </c>
      <c r="I4" s="262" t="s">
        <v>528</v>
      </c>
      <c r="J4" s="322" t="s">
        <v>1193</v>
      </c>
      <c r="K4" s="323" t="s">
        <v>6</v>
      </c>
      <c r="L4" s="323" t="s">
        <v>814</v>
      </c>
      <c r="M4" s="323" t="s">
        <v>814</v>
      </c>
      <c r="N4" s="321" t="s">
        <v>814</v>
      </c>
      <c r="O4" s="255" t="s">
        <v>30</v>
      </c>
      <c r="P4" s="240" t="s">
        <v>589</v>
      </c>
      <c r="Q4" s="195" t="s">
        <v>590</v>
      </c>
      <c r="R4" s="190" t="s">
        <v>1351</v>
      </c>
      <c r="S4" s="191" t="s">
        <v>93</v>
      </c>
    </row>
    <row r="5" spans="1:19" ht="18.75" x14ac:dyDescent="0.2">
      <c r="A5" s="176" t="s">
        <v>505</v>
      </c>
      <c r="B5" s="324" t="s">
        <v>96</v>
      </c>
      <c r="C5" s="194" t="s">
        <v>1352</v>
      </c>
      <c r="D5" s="325" t="s">
        <v>1353</v>
      </c>
      <c r="E5" s="197" t="s">
        <v>121</v>
      </c>
      <c r="F5" s="320" t="s">
        <v>1239</v>
      </c>
      <c r="G5" s="320" t="s">
        <v>1239</v>
      </c>
      <c r="H5" s="326" t="s">
        <v>1239</v>
      </c>
      <c r="I5" s="262" t="s">
        <v>259</v>
      </c>
      <c r="J5" s="327" t="s">
        <v>1354</v>
      </c>
      <c r="K5" s="177" t="s">
        <v>118</v>
      </c>
      <c r="L5" s="320" t="s">
        <v>493</v>
      </c>
      <c r="M5" s="320" t="s">
        <v>493</v>
      </c>
      <c r="N5" s="326" t="s">
        <v>493</v>
      </c>
      <c r="O5" s="328" t="s">
        <v>600</v>
      </c>
      <c r="P5" s="229" t="s">
        <v>112</v>
      </c>
      <c r="Q5" s="246" t="s">
        <v>259</v>
      </c>
      <c r="R5" s="185" t="s">
        <v>591</v>
      </c>
      <c r="S5" s="192" t="s">
        <v>97</v>
      </c>
    </row>
    <row r="6" spans="1:19" ht="18.75" x14ac:dyDescent="0.2">
      <c r="A6" s="176" t="s">
        <v>1355</v>
      </c>
      <c r="B6" s="324" t="s">
        <v>1218</v>
      </c>
      <c r="C6" s="174" t="s">
        <v>1356</v>
      </c>
      <c r="D6" s="283"/>
      <c r="E6" s="180" t="s">
        <v>1221</v>
      </c>
      <c r="F6" s="329" t="s">
        <v>128</v>
      </c>
      <c r="G6" s="267" t="s">
        <v>618</v>
      </c>
      <c r="H6" s="330" t="s">
        <v>641</v>
      </c>
      <c r="I6" s="252"/>
      <c r="J6" s="178" t="s">
        <v>593</v>
      </c>
      <c r="K6" s="180" t="s">
        <v>1205</v>
      </c>
      <c r="L6" s="331" t="s">
        <v>128</v>
      </c>
      <c r="M6" s="196" t="s">
        <v>1357</v>
      </c>
      <c r="N6" s="332" t="s">
        <v>1358</v>
      </c>
      <c r="O6" s="333" t="s">
        <v>127</v>
      </c>
      <c r="P6" s="253" t="s">
        <v>117</v>
      </c>
      <c r="Q6" s="254"/>
      <c r="R6" s="185" t="s">
        <v>1171</v>
      </c>
      <c r="S6" s="235"/>
    </row>
    <row r="7" spans="1:19" ht="18.75" x14ac:dyDescent="0.2">
      <c r="A7" s="176" t="s">
        <v>1359</v>
      </c>
      <c r="B7" s="324"/>
      <c r="C7" s="175" t="s">
        <v>1360</v>
      </c>
      <c r="D7" s="283"/>
      <c r="E7" s="180" t="s">
        <v>136</v>
      </c>
      <c r="F7" s="334" t="s">
        <v>1361</v>
      </c>
      <c r="G7" s="335" t="s">
        <v>128</v>
      </c>
      <c r="H7" s="241" t="s">
        <v>655</v>
      </c>
      <c r="I7" s="258"/>
      <c r="J7" s="336" t="s">
        <v>128</v>
      </c>
      <c r="K7" s="331" t="s">
        <v>128</v>
      </c>
      <c r="L7" s="334" t="s">
        <v>36</v>
      </c>
      <c r="M7" s="196" t="s">
        <v>1362</v>
      </c>
      <c r="N7" s="337" t="s">
        <v>128</v>
      </c>
      <c r="O7" s="333" t="s">
        <v>611</v>
      </c>
      <c r="P7" s="241" t="s">
        <v>1216</v>
      </c>
      <c r="Q7" s="254"/>
      <c r="R7" s="185" t="s">
        <v>1173</v>
      </c>
      <c r="S7" s="260"/>
    </row>
    <row r="8" spans="1:19" ht="18.75" x14ac:dyDescent="0.2">
      <c r="A8" s="176" t="s">
        <v>507</v>
      </c>
      <c r="B8" s="338" t="s">
        <v>128</v>
      </c>
      <c r="C8" s="339" t="s">
        <v>1363</v>
      </c>
      <c r="D8" s="283"/>
      <c r="E8" s="181" t="s">
        <v>151</v>
      </c>
      <c r="F8" s="288" t="s">
        <v>691</v>
      </c>
      <c r="G8" s="334" t="s">
        <v>1361</v>
      </c>
      <c r="H8" s="241" t="s">
        <v>610</v>
      </c>
      <c r="I8" s="252"/>
      <c r="J8" s="241" t="s">
        <v>721</v>
      </c>
      <c r="K8" s="340" t="s">
        <v>40</v>
      </c>
      <c r="L8" s="341" t="s">
        <v>1364</v>
      </c>
      <c r="M8" s="331" t="s">
        <v>128</v>
      </c>
      <c r="N8" s="342" t="s">
        <v>36</v>
      </c>
      <c r="O8" s="182" t="s">
        <v>1235</v>
      </c>
      <c r="P8" s="241" t="s">
        <v>1227</v>
      </c>
      <c r="Q8" s="264"/>
      <c r="R8" s="185" t="s">
        <v>595</v>
      </c>
      <c r="S8" s="260"/>
    </row>
    <row r="9" spans="1:19" ht="18.75" x14ac:dyDescent="0.25">
      <c r="A9" s="188" t="s">
        <v>1365</v>
      </c>
      <c r="B9" s="343" t="s">
        <v>1366</v>
      </c>
      <c r="C9" s="336" t="s">
        <v>128</v>
      </c>
      <c r="D9" s="252"/>
      <c r="E9" s="277"/>
      <c r="F9" s="291" t="s">
        <v>719</v>
      </c>
      <c r="G9" s="291" t="s">
        <v>691</v>
      </c>
      <c r="H9" s="241" t="s">
        <v>619</v>
      </c>
      <c r="I9" s="264"/>
      <c r="J9" s="241" t="s">
        <v>1304</v>
      </c>
      <c r="L9" s="252"/>
      <c r="M9" s="344" t="s">
        <v>36</v>
      </c>
      <c r="N9" s="345" t="s">
        <v>622</v>
      </c>
      <c r="O9" s="183" t="s">
        <v>1255</v>
      </c>
      <c r="P9" s="241" t="s">
        <v>1236</v>
      </c>
      <c r="Q9" s="264"/>
      <c r="R9" s="185" t="s">
        <v>1174</v>
      </c>
      <c r="S9" s="260"/>
    </row>
    <row r="10" spans="1:19" x14ac:dyDescent="0.25">
      <c r="A10" s="189" t="s">
        <v>1367</v>
      </c>
      <c r="B10" s="343" t="s">
        <v>1368</v>
      </c>
      <c r="C10" s="342" t="s">
        <v>688</v>
      </c>
      <c r="D10" s="269"/>
      <c r="E10" s="269"/>
      <c r="F10" s="346" t="s">
        <v>729</v>
      </c>
      <c r="G10" s="347" t="s">
        <v>700</v>
      </c>
      <c r="H10" s="241" t="s">
        <v>1369</v>
      </c>
      <c r="I10" s="271"/>
      <c r="J10" s="248" t="s">
        <v>502</v>
      </c>
      <c r="K10" s="290"/>
      <c r="L10" s="252"/>
      <c r="M10" s="344" t="s">
        <v>1364</v>
      </c>
      <c r="N10" s="348" t="s">
        <v>705</v>
      </c>
      <c r="O10" s="184" t="s">
        <v>1246</v>
      </c>
      <c r="P10" s="241" t="s">
        <v>1247</v>
      </c>
      <c r="Q10" s="264"/>
      <c r="R10" s="185" t="s">
        <v>1256</v>
      </c>
      <c r="S10" s="260"/>
    </row>
    <row r="11" spans="1:19" ht="18.75" x14ac:dyDescent="0.25">
      <c r="A11" s="283"/>
      <c r="B11" s="349" t="s">
        <v>1370</v>
      </c>
      <c r="C11" s="350" t="s">
        <v>1361</v>
      </c>
      <c r="D11" s="261"/>
      <c r="E11" s="179"/>
      <c r="F11" s="252"/>
      <c r="G11" s="252"/>
      <c r="H11" s="336" t="s">
        <v>128</v>
      </c>
      <c r="I11" s="252"/>
      <c r="J11" s="252"/>
      <c r="K11" s="290"/>
      <c r="L11" s="252"/>
      <c r="M11" s="351" t="s">
        <v>1371</v>
      </c>
      <c r="N11" s="252"/>
      <c r="O11" s="252"/>
      <c r="P11" s="241" t="s">
        <v>612</v>
      </c>
      <c r="Q11" s="252"/>
      <c r="R11" s="185" t="s">
        <v>1261</v>
      </c>
      <c r="S11" s="260"/>
    </row>
    <row r="12" spans="1:19" ht="15" x14ac:dyDescent="0.25">
      <c r="A12" s="283"/>
      <c r="B12" s="352" t="s">
        <v>1372</v>
      </c>
      <c r="C12" s="260"/>
      <c r="D12" s="277"/>
      <c r="E12" s="277"/>
      <c r="F12" s="252"/>
      <c r="G12" s="252"/>
      <c r="H12" s="344" t="s">
        <v>40</v>
      </c>
      <c r="I12" s="264"/>
      <c r="J12" s="252"/>
      <c r="K12" s="290"/>
      <c r="L12" s="252"/>
      <c r="M12" s="252"/>
      <c r="N12" s="252"/>
      <c r="O12" s="278"/>
      <c r="P12" s="273" t="s">
        <v>162</v>
      </c>
      <c r="Q12" s="279"/>
      <c r="R12" s="185" t="s">
        <v>195</v>
      </c>
      <c r="S12" s="261"/>
    </row>
    <row r="13" spans="1:19" x14ac:dyDescent="0.2">
      <c r="A13" s="283"/>
      <c r="B13" s="277"/>
      <c r="C13" s="260"/>
      <c r="D13" s="277"/>
      <c r="E13" s="277"/>
      <c r="F13" s="252"/>
      <c r="G13" s="252"/>
      <c r="H13" s="296" t="s">
        <v>547</v>
      </c>
      <c r="I13" s="264"/>
      <c r="J13" s="252"/>
      <c r="K13" s="290"/>
      <c r="L13" s="252"/>
      <c r="M13" s="252"/>
      <c r="N13" s="252"/>
      <c r="O13" s="278"/>
      <c r="P13" s="273" t="s">
        <v>1267</v>
      </c>
      <c r="Q13" s="279"/>
      <c r="R13" s="185" t="s">
        <v>204</v>
      </c>
      <c r="S13" s="264"/>
    </row>
    <row r="14" spans="1:19" ht="18.75" x14ac:dyDescent="0.2">
      <c r="A14" s="283"/>
      <c r="B14" s="252"/>
      <c r="C14" s="260"/>
      <c r="D14" s="283"/>
      <c r="E14" s="283"/>
      <c r="F14" s="252"/>
      <c r="G14" s="252"/>
      <c r="H14" s="241" t="s">
        <v>1373</v>
      </c>
      <c r="I14" s="252"/>
      <c r="J14" s="252"/>
      <c r="K14" s="284"/>
      <c r="L14" s="252"/>
      <c r="M14" s="252"/>
      <c r="N14" s="252"/>
      <c r="O14" s="252"/>
      <c r="P14" s="273" t="s">
        <v>1273</v>
      </c>
      <c r="Q14" s="252"/>
      <c r="R14" s="185" t="s">
        <v>211</v>
      </c>
      <c r="S14" s="264"/>
    </row>
    <row r="15" spans="1:19" ht="15" x14ac:dyDescent="0.2">
      <c r="A15" s="283"/>
      <c r="B15" s="252"/>
      <c r="C15" s="260"/>
      <c r="D15" s="260"/>
      <c r="E15" s="260"/>
      <c r="F15" s="252"/>
      <c r="G15" s="252"/>
      <c r="H15" s="248" t="s">
        <v>5</v>
      </c>
      <c r="I15" s="252"/>
      <c r="J15" s="252"/>
      <c r="K15" s="286"/>
      <c r="L15" s="252"/>
      <c r="M15" s="252"/>
      <c r="N15" s="252"/>
      <c r="O15" s="252"/>
      <c r="P15" s="273" t="s">
        <v>175</v>
      </c>
      <c r="Q15" s="252"/>
      <c r="R15" s="186" t="s">
        <v>634</v>
      </c>
      <c r="S15" s="264"/>
    </row>
    <row r="16" spans="1:19" x14ac:dyDescent="0.2">
      <c r="A16" s="283"/>
      <c r="B16" s="252"/>
      <c r="C16" s="260"/>
      <c r="D16" s="260"/>
      <c r="E16" s="260"/>
      <c r="F16" s="252"/>
      <c r="G16" s="252"/>
      <c r="H16" s="252"/>
      <c r="I16" s="289"/>
      <c r="J16" s="252"/>
      <c r="K16" s="290"/>
      <c r="L16" s="252"/>
      <c r="M16" s="252"/>
      <c r="N16" s="252"/>
      <c r="O16" s="252"/>
      <c r="P16" s="282" t="s">
        <v>1285</v>
      </c>
      <c r="Q16" s="252"/>
      <c r="R16" s="252"/>
      <c r="S16" s="264"/>
    </row>
    <row r="19" spans="23:23" ht="12.75" x14ac:dyDescent="0.2">
      <c r="W19" s="151" t="s">
        <v>751</v>
      </c>
    </row>
  </sheetData>
  <mergeCells count="1">
    <mergeCell ref="A1:S1"/>
  </mergeCells>
  <printOptions horizontalCentered="1"/>
  <pageMargins left="0.7" right="0.7" top="0.75" bottom="0.75" header="0" footer="0"/>
  <pageSetup paperSize="3" scale="92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4C60-A1B6-4BD5-829D-9D12894467A6}">
  <dimension ref="A2:F9"/>
  <sheetViews>
    <sheetView topLeftCell="A22" workbookViewId="0">
      <selection activeCell="E6" sqref="E6"/>
    </sheetView>
  </sheetViews>
  <sheetFormatPr defaultColWidth="9.140625" defaultRowHeight="21.75" customHeight="1" x14ac:dyDescent="0.2"/>
  <cols>
    <col min="1" max="1" width="15.140625" style="59" customWidth="1"/>
    <col min="2" max="2" width="11.28515625" style="59" customWidth="1"/>
    <col min="3" max="3" width="9.140625" style="59"/>
    <col min="4" max="4" width="13.7109375" style="59" customWidth="1"/>
    <col min="5" max="5" width="8.42578125" style="59" customWidth="1"/>
    <col min="6" max="16384" width="9.140625" style="59"/>
  </cols>
  <sheetData>
    <row r="2" spans="1:6" ht="21.75" customHeight="1" x14ac:dyDescent="0.2">
      <c r="A2" s="100" t="s">
        <v>303</v>
      </c>
      <c r="B2" s="106" t="s">
        <v>1374</v>
      </c>
      <c r="C2" s="353" t="s">
        <v>1375</v>
      </c>
      <c r="D2" s="106" t="s">
        <v>1376</v>
      </c>
      <c r="E2" s="353" t="s">
        <v>1377</v>
      </c>
      <c r="F2" s="106" t="s">
        <v>1378</v>
      </c>
    </row>
    <row r="3" spans="1:6" ht="118.5" customHeight="1" x14ac:dyDescent="0.2">
      <c r="A3" s="199" t="s">
        <v>1379</v>
      </c>
      <c r="B3" s="200" t="s">
        <v>21</v>
      </c>
      <c r="D3" s="201" t="s">
        <v>1380</v>
      </c>
      <c r="E3" s="202" t="s">
        <v>1381</v>
      </c>
      <c r="F3" s="200"/>
    </row>
    <row r="4" spans="1:6" ht="126.75" customHeight="1" x14ac:dyDescent="0.2">
      <c r="A4" s="199" t="s">
        <v>1382</v>
      </c>
      <c r="B4" s="200"/>
      <c r="C4" s="201" t="s">
        <v>1383</v>
      </c>
      <c r="D4" s="201" t="s">
        <v>259</v>
      </c>
      <c r="E4" s="202" t="s">
        <v>1384</v>
      </c>
      <c r="F4" s="200"/>
    </row>
    <row r="5" spans="1:6" ht="102" customHeight="1" x14ac:dyDescent="0.2">
      <c r="A5" s="199" t="s">
        <v>1385</v>
      </c>
      <c r="B5" s="200"/>
      <c r="D5" s="200"/>
      <c r="F5" s="200"/>
    </row>
    <row r="6" spans="1:6" ht="79.5" customHeight="1" x14ac:dyDescent="0.2">
      <c r="A6" s="199" t="s">
        <v>1386</v>
      </c>
      <c r="B6" s="200"/>
      <c r="D6" s="200"/>
      <c r="F6" s="200"/>
    </row>
    <row r="7" spans="1:6" ht="110.25" customHeight="1" x14ac:dyDescent="0.2">
      <c r="A7" s="199" t="s">
        <v>1387</v>
      </c>
      <c r="B7" s="200"/>
      <c r="D7" s="200"/>
      <c r="E7" s="202" t="s">
        <v>1388</v>
      </c>
      <c r="F7" s="200"/>
    </row>
    <row r="8" spans="1:6" ht="119.25" customHeight="1" x14ac:dyDescent="0.2">
      <c r="A8" s="199" t="s">
        <v>1389</v>
      </c>
      <c r="B8" s="200"/>
      <c r="D8" s="200"/>
      <c r="F8" s="200"/>
    </row>
    <row r="9" spans="1:6" ht="115.5" customHeight="1" x14ac:dyDescent="0.2">
      <c r="A9" s="199" t="s">
        <v>1390</v>
      </c>
      <c r="B9" s="200"/>
      <c r="D9" s="200"/>
      <c r="F9" s="20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E21E-B89A-41D8-B70E-11468048D1CB}">
  <dimension ref="A1:B100"/>
  <sheetViews>
    <sheetView workbookViewId="0">
      <selection activeCell="B97" sqref="B97"/>
    </sheetView>
  </sheetViews>
  <sheetFormatPr defaultColWidth="8.85546875" defaultRowHeight="12.75" x14ac:dyDescent="0.2"/>
  <cols>
    <col min="2" max="2" width="27.140625" customWidth="1"/>
  </cols>
  <sheetData>
    <row r="1" spans="1:2" ht="14.25" x14ac:dyDescent="0.2">
      <c r="A1" t="s">
        <v>1391</v>
      </c>
      <c r="B1" s="118" t="s">
        <v>1392</v>
      </c>
    </row>
    <row r="2" spans="1:2" ht="14.25" x14ac:dyDescent="0.2">
      <c r="B2" s="118" t="s">
        <v>1393</v>
      </c>
    </row>
    <row r="3" spans="1:2" ht="14.25" x14ac:dyDescent="0.2">
      <c r="B3" s="118" t="s">
        <v>1394</v>
      </c>
    </row>
    <row r="4" spans="1:2" ht="14.25" x14ac:dyDescent="0.2">
      <c r="B4" s="118" t="s">
        <v>1395</v>
      </c>
    </row>
    <row r="5" spans="1:2" ht="14.25" x14ac:dyDescent="0.2">
      <c r="B5" s="118" t="s">
        <v>1396</v>
      </c>
    </row>
    <row r="6" spans="1:2" ht="14.25" x14ac:dyDescent="0.2">
      <c r="B6" s="118" t="s">
        <v>1397</v>
      </c>
    </row>
    <row r="7" spans="1:2" ht="14.25" x14ac:dyDescent="0.2">
      <c r="B7" s="118" t="s">
        <v>1398</v>
      </c>
    </row>
    <row r="8" spans="1:2" ht="14.25" x14ac:dyDescent="0.2">
      <c r="B8" s="118" t="s">
        <v>1399</v>
      </c>
    </row>
    <row r="9" spans="1:2" ht="14.25" x14ac:dyDescent="0.2">
      <c r="B9" s="118" t="s">
        <v>1400</v>
      </c>
    </row>
    <row r="10" spans="1:2" ht="14.25" x14ac:dyDescent="0.2">
      <c r="B10" s="118" t="s">
        <v>1401</v>
      </c>
    </row>
    <row r="11" spans="1:2" ht="14.25" x14ac:dyDescent="0.2">
      <c r="B11" s="118" t="s">
        <v>1402</v>
      </c>
    </row>
    <row r="12" spans="1:2" ht="14.25" x14ac:dyDescent="0.2">
      <c r="B12" s="118" t="s">
        <v>1403</v>
      </c>
    </row>
    <row r="13" spans="1:2" ht="14.25" x14ac:dyDescent="0.2">
      <c r="B13" s="118" t="s">
        <v>1404</v>
      </c>
    </row>
    <row r="14" spans="1:2" ht="14.25" x14ac:dyDescent="0.2">
      <c r="B14" s="118" t="s">
        <v>1405</v>
      </c>
    </row>
    <row r="15" spans="1:2" ht="14.25" x14ac:dyDescent="0.2">
      <c r="B15" s="118" t="s">
        <v>1406</v>
      </c>
    </row>
    <row r="16" spans="1:2" ht="14.25" x14ac:dyDescent="0.2">
      <c r="B16" s="118" t="s">
        <v>1407</v>
      </c>
    </row>
    <row r="17" spans="2:2" ht="14.25" x14ac:dyDescent="0.2">
      <c r="B17" s="118" t="s">
        <v>1408</v>
      </c>
    </row>
    <row r="18" spans="2:2" ht="14.25" x14ac:dyDescent="0.2">
      <c r="B18" s="118" t="s">
        <v>1409</v>
      </c>
    </row>
    <row r="19" spans="2:2" ht="14.25" x14ac:dyDescent="0.2">
      <c r="B19" s="118" t="s">
        <v>1410</v>
      </c>
    </row>
    <row r="20" spans="2:2" ht="14.25" x14ac:dyDescent="0.2">
      <c r="B20" s="118" t="s">
        <v>1411</v>
      </c>
    </row>
    <row r="21" spans="2:2" ht="14.25" x14ac:dyDescent="0.2">
      <c r="B21" s="118" t="s">
        <v>1412</v>
      </c>
    </row>
    <row r="22" spans="2:2" ht="14.25" x14ac:dyDescent="0.2">
      <c r="B22" s="118" t="s">
        <v>1413</v>
      </c>
    </row>
    <row r="23" spans="2:2" ht="14.25" x14ac:dyDescent="0.2">
      <c r="B23" s="118" t="s">
        <v>1414</v>
      </c>
    </row>
    <row r="24" spans="2:2" ht="14.25" x14ac:dyDescent="0.2">
      <c r="B24" s="118" t="s">
        <v>1415</v>
      </c>
    </row>
    <row r="25" spans="2:2" ht="14.25" x14ac:dyDescent="0.2">
      <c r="B25" s="118" t="s">
        <v>1416</v>
      </c>
    </row>
    <row r="26" spans="2:2" ht="14.25" x14ac:dyDescent="0.2">
      <c r="B26" s="118" t="s">
        <v>1417</v>
      </c>
    </row>
    <row r="27" spans="2:2" ht="14.25" x14ac:dyDescent="0.2">
      <c r="B27" s="118" t="s">
        <v>1418</v>
      </c>
    </row>
    <row r="28" spans="2:2" ht="14.25" x14ac:dyDescent="0.2">
      <c r="B28" s="118" t="s">
        <v>1419</v>
      </c>
    </row>
    <row r="29" spans="2:2" ht="14.25" x14ac:dyDescent="0.2">
      <c r="B29" s="118" t="s">
        <v>1420</v>
      </c>
    </row>
    <row r="30" spans="2:2" ht="14.25" x14ac:dyDescent="0.2">
      <c r="B30" s="118" t="s">
        <v>1421</v>
      </c>
    </row>
    <row r="31" spans="2:2" ht="14.25" x14ac:dyDescent="0.2">
      <c r="B31" s="118" t="s">
        <v>1422</v>
      </c>
    </row>
    <row r="32" spans="2:2" ht="14.25" x14ac:dyDescent="0.2">
      <c r="B32" s="118" t="s">
        <v>1423</v>
      </c>
    </row>
    <row r="33" spans="2:2" ht="14.25" x14ac:dyDescent="0.2">
      <c r="B33" s="118" t="s">
        <v>1424</v>
      </c>
    </row>
    <row r="34" spans="2:2" ht="14.25" x14ac:dyDescent="0.2">
      <c r="B34" s="118" t="s">
        <v>1425</v>
      </c>
    </row>
    <row r="35" spans="2:2" ht="14.25" x14ac:dyDescent="0.2">
      <c r="B35" s="118" t="s">
        <v>1426</v>
      </c>
    </row>
    <row r="36" spans="2:2" ht="14.25" x14ac:dyDescent="0.2">
      <c r="B36" s="118" t="s">
        <v>1427</v>
      </c>
    </row>
    <row r="37" spans="2:2" ht="14.25" x14ac:dyDescent="0.2">
      <c r="B37" s="118" t="s">
        <v>1428</v>
      </c>
    </row>
    <row r="38" spans="2:2" ht="14.25" x14ac:dyDescent="0.2">
      <c r="B38" s="118" t="s">
        <v>1429</v>
      </c>
    </row>
    <row r="39" spans="2:2" ht="14.25" x14ac:dyDescent="0.2">
      <c r="B39" s="118" t="s">
        <v>1430</v>
      </c>
    </row>
    <row r="40" spans="2:2" ht="14.25" x14ac:dyDescent="0.2">
      <c r="B40" s="118" t="s">
        <v>1431</v>
      </c>
    </row>
    <row r="41" spans="2:2" ht="14.25" x14ac:dyDescent="0.2">
      <c r="B41" s="118" t="s">
        <v>1432</v>
      </c>
    </row>
    <row r="42" spans="2:2" ht="14.25" x14ac:dyDescent="0.2">
      <c r="B42" s="118" t="s">
        <v>1433</v>
      </c>
    </row>
    <row r="43" spans="2:2" ht="14.25" x14ac:dyDescent="0.2">
      <c r="B43" s="118" t="s">
        <v>1434</v>
      </c>
    </row>
    <row r="44" spans="2:2" ht="14.25" x14ac:dyDescent="0.2">
      <c r="B44" s="118" t="s">
        <v>1435</v>
      </c>
    </row>
    <row r="45" spans="2:2" ht="14.25" x14ac:dyDescent="0.2">
      <c r="B45" s="118" t="s">
        <v>1436</v>
      </c>
    </row>
    <row r="46" spans="2:2" ht="14.25" x14ac:dyDescent="0.2">
      <c r="B46" s="118" t="s">
        <v>1437</v>
      </c>
    </row>
    <row r="47" spans="2:2" ht="14.25" x14ac:dyDescent="0.2">
      <c r="B47" s="118" t="s">
        <v>1438</v>
      </c>
    </row>
    <row r="48" spans="2:2" ht="14.25" x14ac:dyDescent="0.2">
      <c r="B48" s="118" t="s">
        <v>1439</v>
      </c>
    </row>
    <row r="49" spans="2:2" ht="14.25" x14ac:dyDescent="0.2">
      <c r="B49" s="118" t="s">
        <v>1440</v>
      </c>
    </row>
    <row r="50" spans="2:2" ht="14.25" x14ac:dyDescent="0.2">
      <c r="B50" s="118" t="s">
        <v>1441</v>
      </c>
    </row>
    <row r="51" spans="2:2" ht="14.25" x14ac:dyDescent="0.2">
      <c r="B51" s="118" t="s">
        <v>1442</v>
      </c>
    </row>
    <row r="52" spans="2:2" ht="14.25" x14ac:dyDescent="0.2">
      <c r="B52" s="118" t="s">
        <v>1443</v>
      </c>
    </row>
    <row r="53" spans="2:2" ht="14.25" x14ac:dyDescent="0.2">
      <c r="B53" s="118" t="s">
        <v>1444</v>
      </c>
    </row>
    <row r="54" spans="2:2" ht="14.25" x14ac:dyDescent="0.2">
      <c r="B54" s="118" t="s">
        <v>1445</v>
      </c>
    </row>
    <row r="55" spans="2:2" ht="14.25" x14ac:dyDescent="0.2">
      <c r="B55" s="118" t="s">
        <v>1446</v>
      </c>
    </row>
    <row r="56" spans="2:2" ht="14.25" x14ac:dyDescent="0.2">
      <c r="B56" s="118" t="s">
        <v>1447</v>
      </c>
    </row>
    <row r="57" spans="2:2" ht="14.25" x14ac:dyDescent="0.2">
      <c r="B57" s="118" t="s">
        <v>1448</v>
      </c>
    </row>
    <row r="58" spans="2:2" ht="14.25" x14ac:dyDescent="0.2">
      <c r="B58" s="118" t="s">
        <v>1449</v>
      </c>
    </row>
    <row r="59" spans="2:2" ht="14.25" x14ac:dyDescent="0.2">
      <c r="B59" s="118" t="s">
        <v>1450</v>
      </c>
    </row>
    <row r="60" spans="2:2" ht="14.25" x14ac:dyDescent="0.2">
      <c r="B60" s="118" t="s">
        <v>1451</v>
      </c>
    </row>
    <row r="61" spans="2:2" ht="14.25" x14ac:dyDescent="0.2">
      <c r="B61" s="118" t="s">
        <v>1452</v>
      </c>
    </row>
    <row r="62" spans="2:2" ht="14.25" x14ac:dyDescent="0.2">
      <c r="B62" s="118" t="s">
        <v>1453</v>
      </c>
    </row>
    <row r="63" spans="2:2" ht="14.25" x14ac:dyDescent="0.2">
      <c r="B63" s="118" t="s">
        <v>1454</v>
      </c>
    </row>
    <row r="64" spans="2:2" ht="14.25" x14ac:dyDescent="0.2">
      <c r="B64" s="118" t="s">
        <v>1455</v>
      </c>
    </row>
    <row r="65" spans="2:2" ht="14.25" x14ac:dyDescent="0.2">
      <c r="B65" s="118" t="s">
        <v>1456</v>
      </c>
    </row>
    <row r="66" spans="2:2" ht="14.25" x14ac:dyDescent="0.2">
      <c r="B66" s="118" t="s">
        <v>1457</v>
      </c>
    </row>
    <row r="67" spans="2:2" ht="14.25" x14ac:dyDescent="0.2">
      <c r="B67" s="118" t="s">
        <v>1458</v>
      </c>
    </row>
    <row r="68" spans="2:2" ht="14.25" x14ac:dyDescent="0.2">
      <c r="B68" s="118" t="s">
        <v>1459</v>
      </c>
    </row>
    <row r="69" spans="2:2" ht="14.25" x14ac:dyDescent="0.2">
      <c r="B69" s="118" t="s">
        <v>1460</v>
      </c>
    </row>
    <row r="70" spans="2:2" ht="14.25" x14ac:dyDescent="0.2">
      <c r="B70" s="118" t="s">
        <v>1461</v>
      </c>
    </row>
    <row r="71" spans="2:2" ht="14.25" x14ac:dyDescent="0.2">
      <c r="B71" s="118" t="s">
        <v>1462</v>
      </c>
    </row>
    <row r="72" spans="2:2" ht="14.25" x14ac:dyDescent="0.2">
      <c r="B72" s="118" t="s">
        <v>1463</v>
      </c>
    </row>
    <row r="73" spans="2:2" ht="14.25" x14ac:dyDescent="0.2">
      <c r="B73" s="118" t="s">
        <v>1464</v>
      </c>
    </row>
    <row r="74" spans="2:2" ht="14.25" x14ac:dyDescent="0.2">
      <c r="B74" s="118" t="s">
        <v>1465</v>
      </c>
    </row>
    <row r="75" spans="2:2" ht="14.25" x14ac:dyDescent="0.2">
      <c r="B75" s="118" t="s">
        <v>1466</v>
      </c>
    </row>
    <row r="76" spans="2:2" ht="14.25" x14ac:dyDescent="0.2">
      <c r="B76" s="118" t="s">
        <v>1467</v>
      </c>
    </row>
    <row r="77" spans="2:2" ht="14.25" x14ac:dyDescent="0.2">
      <c r="B77" s="118" t="s">
        <v>1468</v>
      </c>
    </row>
    <row r="78" spans="2:2" ht="14.25" x14ac:dyDescent="0.2">
      <c r="B78" s="118" t="s">
        <v>1469</v>
      </c>
    </row>
    <row r="79" spans="2:2" ht="14.25" x14ac:dyDescent="0.2">
      <c r="B79" s="118" t="s">
        <v>1470</v>
      </c>
    </row>
    <row r="80" spans="2:2" ht="14.25" x14ac:dyDescent="0.2">
      <c r="B80" s="118" t="s">
        <v>1471</v>
      </c>
    </row>
    <row r="81" spans="1:2" x14ac:dyDescent="0.2">
      <c r="A81" t="s">
        <v>1472</v>
      </c>
    </row>
    <row r="82" spans="1:2" ht="14.25" x14ac:dyDescent="0.2">
      <c r="B82" s="118" t="s">
        <v>1404</v>
      </c>
    </row>
    <row r="83" spans="1:2" ht="14.25" x14ac:dyDescent="0.2">
      <c r="B83" s="118" t="s">
        <v>1473</v>
      </c>
    </row>
    <row r="84" spans="1:2" ht="14.25" x14ac:dyDescent="0.2">
      <c r="B84" s="118" t="s">
        <v>1474</v>
      </c>
    </row>
    <row r="85" spans="1:2" ht="14.25" x14ac:dyDescent="0.2">
      <c r="B85" s="118" t="s">
        <v>1475</v>
      </c>
    </row>
    <row r="86" spans="1:2" ht="14.25" x14ac:dyDescent="0.2">
      <c r="B86" s="118" t="s">
        <v>1476</v>
      </c>
    </row>
    <row r="87" spans="1:2" ht="14.25" x14ac:dyDescent="0.2">
      <c r="B87" s="118" t="s">
        <v>1477</v>
      </c>
    </row>
    <row r="88" spans="1:2" ht="14.25" x14ac:dyDescent="0.2">
      <c r="B88" s="118" t="s">
        <v>1478</v>
      </c>
    </row>
    <row r="89" spans="1:2" ht="14.25" x14ac:dyDescent="0.2">
      <c r="B89" s="118" t="s">
        <v>1479</v>
      </c>
    </row>
    <row r="90" spans="1:2" ht="14.25" x14ac:dyDescent="0.2">
      <c r="B90" s="118" t="s">
        <v>1480</v>
      </c>
    </row>
    <row r="91" spans="1:2" ht="14.25" x14ac:dyDescent="0.2">
      <c r="B91" s="118" t="s">
        <v>1481</v>
      </c>
    </row>
    <row r="92" spans="1:2" ht="14.25" x14ac:dyDescent="0.2">
      <c r="B92" s="118" t="s">
        <v>1482</v>
      </c>
    </row>
    <row r="93" spans="1:2" ht="14.25" x14ac:dyDescent="0.2">
      <c r="B93" s="118" t="s">
        <v>1483</v>
      </c>
    </row>
    <row r="94" spans="1:2" ht="14.25" x14ac:dyDescent="0.2">
      <c r="B94" s="118" t="s">
        <v>1484</v>
      </c>
    </row>
    <row r="95" spans="1:2" ht="14.25" x14ac:dyDescent="0.2">
      <c r="B95" s="118" t="s">
        <v>1485</v>
      </c>
    </row>
    <row r="96" spans="1:2" x14ac:dyDescent="0.2">
      <c r="A96" t="s">
        <v>1486</v>
      </c>
    </row>
    <row r="97" spans="2:2" ht="14.25" x14ac:dyDescent="0.2">
      <c r="B97" s="118" t="s">
        <v>1402</v>
      </c>
    </row>
    <row r="98" spans="2:2" ht="14.25" x14ac:dyDescent="0.2">
      <c r="B98" s="118" t="s">
        <v>1411</v>
      </c>
    </row>
    <row r="99" spans="2:2" ht="14.25" x14ac:dyDescent="0.2">
      <c r="B99" s="118" t="s">
        <v>1487</v>
      </c>
    </row>
    <row r="100" spans="2:2" ht="14.25" x14ac:dyDescent="0.2">
      <c r="B100" s="118" t="s">
        <v>1488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A8E6-0F6D-4CD4-858E-822EC933F3BE}">
  <dimension ref="A1:L20"/>
  <sheetViews>
    <sheetView workbookViewId="0">
      <selection activeCell="D2" sqref="D2"/>
    </sheetView>
  </sheetViews>
  <sheetFormatPr defaultColWidth="8.85546875" defaultRowHeight="20.25" customHeight="1" x14ac:dyDescent="0.2"/>
  <cols>
    <col min="1" max="1" width="32.7109375" style="82" customWidth="1"/>
    <col min="2" max="2" width="19.140625" style="59" customWidth="1"/>
    <col min="3" max="3" width="26.7109375" style="59" customWidth="1"/>
    <col min="4" max="4" width="14.7109375" style="59" customWidth="1"/>
    <col min="5" max="5" width="15.140625" style="59" customWidth="1"/>
    <col min="6" max="6" width="15" style="59" customWidth="1"/>
    <col min="12" max="12" width="28" customWidth="1"/>
  </cols>
  <sheetData>
    <row r="1" spans="1:12" ht="20.25" customHeight="1" x14ac:dyDescent="0.2">
      <c r="A1" s="86" t="s">
        <v>1000</v>
      </c>
      <c r="B1" s="86" t="s">
        <v>1489</v>
      </c>
      <c r="C1" s="86" t="s">
        <v>303</v>
      </c>
      <c r="D1" s="86" t="s">
        <v>1008</v>
      </c>
      <c r="E1" s="86" t="s">
        <v>1490</v>
      </c>
      <c r="F1" s="86" t="s">
        <v>1005</v>
      </c>
    </row>
    <row r="2" spans="1:12" ht="20.25" customHeight="1" x14ac:dyDescent="0.2">
      <c r="A2" s="93" t="s">
        <v>1491</v>
      </c>
      <c r="B2" s="51" t="s">
        <v>1492</v>
      </c>
      <c r="C2" s="51" t="s">
        <v>1023</v>
      </c>
      <c r="D2" s="51" t="s">
        <v>1113</v>
      </c>
      <c r="E2" s="112" t="s">
        <v>1493</v>
      </c>
      <c r="F2" s="51" t="s">
        <v>26</v>
      </c>
    </row>
    <row r="3" spans="1:12" ht="20.25" customHeight="1" x14ac:dyDescent="0.2">
      <c r="A3" s="93" t="s">
        <v>1494</v>
      </c>
      <c r="B3" s="51" t="s">
        <v>1492</v>
      </c>
      <c r="C3" s="51" t="s">
        <v>1495</v>
      </c>
      <c r="D3" s="51" t="s">
        <v>1113</v>
      </c>
      <c r="E3" s="114" t="s">
        <v>1496</v>
      </c>
      <c r="F3" s="51" t="s">
        <v>26</v>
      </c>
    </row>
    <row r="4" spans="1:12" ht="20.25" customHeight="1" x14ac:dyDescent="0.2">
      <c r="A4" s="93" t="s">
        <v>1497</v>
      </c>
      <c r="B4" s="51" t="s">
        <v>1492</v>
      </c>
      <c r="C4" s="51" t="s">
        <v>1495</v>
      </c>
      <c r="D4" s="51" t="s">
        <v>1113</v>
      </c>
      <c r="E4" s="112" t="s">
        <v>1493</v>
      </c>
      <c r="F4" s="51" t="s">
        <v>26</v>
      </c>
    </row>
    <row r="5" spans="1:12" ht="20.25" customHeight="1" x14ac:dyDescent="0.2">
      <c r="A5" s="93" t="s">
        <v>1498</v>
      </c>
      <c r="B5" s="51" t="s">
        <v>1499</v>
      </c>
      <c r="C5" s="51" t="s">
        <v>1495</v>
      </c>
      <c r="D5" s="51" t="s">
        <v>1113</v>
      </c>
      <c r="E5" s="114" t="s">
        <v>1496</v>
      </c>
      <c r="F5" s="51" t="s">
        <v>26</v>
      </c>
      <c r="K5" s="112" t="s">
        <v>1493</v>
      </c>
      <c r="L5" t="s">
        <v>1500</v>
      </c>
    </row>
    <row r="6" spans="1:12" ht="20.25" customHeight="1" x14ac:dyDescent="0.2">
      <c r="A6" s="93" t="s">
        <v>1501</v>
      </c>
      <c r="B6" s="51" t="s">
        <v>1492</v>
      </c>
      <c r="C6" s="51"/>
      <c r="D6" s="51" t="s">
        <v>1113</v>
      </c>
      <c r="E6" s="114"/>
      <c r="F6" s="51" t="s">
        <v>26</v>
      </c>
      <c r="K6" s="114" t="s">
        <v>1496</v>
      </c>
      <c r="L6" t="s">
        <v>1502</v>
      </c>
    </row>
    <row r="7" spans="1:12" ht="20.25" customHeight="1" x14ac:dyDescent="0.2">
      <c r="A7" s="93"/>
      <c r="B7" s="51"/>
      <c r="C7" s="51"/>
      <c r="D7" s="51"/>
      <c r="E7" s="114"/>
      <c r="F7" s="51"/>
      <c r="K7" s="115" t="s">
        <v>1503</v>
      </c>
      <c r="L7" t="s">
        <v>1504</v>
      </c>
    </row>
    <row r="8" spans="1:12" ht="20.25" customHeight="1" x14ac:dyDescent="0.2">
      <c r="A8" s="93" t="s">
        <v>1505</v>
      </c>
      <c r="B8" s="51" t="s">
        <v>1492</v>
      </c>
      <c r="C8" s="51" t="s">
        <v>1495</v>
      </c>
      <c r="D8" s="51" t="s">
        <v>1506</v>
      </c>
      <c r="E8" s="112" t="s">
        <v>1493</v>
      </c>
      <c r="F8" s="51" t="s">
        <v>26</v>
      </c>
      <c r="K8" s="116"/>
      <c r="L8" t="s">
        <v>1507</v>
      </c>
    </row>
    <row r="9" spans="1:12" ht="20.25" customHeight="1" x14ac:dyDescent="0.2">
      <c r="A9" s="93" t="s">
        <v>1269</v>
      </c>
      <c r="B9" s="51" t="s">
        <v>63</v>
      </c>
      <c r="C9" s="51" t="s">
        <v>63</v>
      </c>
      <c r="D9" s="100" t="s">
        <v>1508</v>
      </c>
      <c r="E9" s="112" t="s">
        <v>1493</v>
      </c>
      <c r="F9" s="105" t="s">
        <v>16</v>
      </c>
    </row>
    <row r="10" spans="1:12" ht="20.25" customHeight="1" x14ac:dyDescent="0.2">
      <c r="A10" s="93" t="s">
        <v>651</v>
      </c>
      <c r="B10" s="51" t="s">
        <v>63</v>
      </c>
      <c r="C10" s="51" t="s">
        <v>63</v>
      </c>
      <c r="D10" s="100" t="s">
        <v>1508</v>
      </c>
      <c r="E10" s="112" t="s">
        <v>1493</v>
      </c>
      <c r="F10" s="105" t="s">
        <v>16</v>
      </c>
    </row>
    <row r="11" spans="1:12" ht="20.25" customHeight="1" x14ac:dyDescent="0.2">
      <c r="A11" s="93" t="s">
        <v>1509</v>
      </c>
      <c r="B11" s="51" t="s">
        <v>1499</v>
      </c>
      <c r="C11" s="51" t="s">
        <v>1023</v>
      </c>
      <c r="D11" s="51" t="s">
        <v>1508</v>
      </c>
      <c r="E11" s="113"/>
      <c r="F11" s="51" t="s">
        <v>503</v>
      </c>
    </row>
    <row r="12" spans="1:12" ht="20.25" customHeight="1" x14ac:dyDescent="0.2">
      <c r="A12" s="93" t="s">
        <v>1510</v>
      </c>
      <c r="B12" s="51" t="s">
        <v>1492</v>
      </c>
      <c r="C12" s="51" t="s">
        <v>1023</v>
      </c>
      <c r="D12" s="51" t="s">
        <v>1113</v>
      </c>
      <c r="E12" s="51"/>
      <c r="F12" s="51" t="s">
        <v>503</v>
      </c>
    </row>
    <row r="13" spans="1:12" ht="20.25" customHeight="1" x14ac:dyDescent="0.2">
      <c r="A13" s="93" t="s">
        <v>1511</v>
      </c>
      <c r="B13" s="51" t="s">
        <v>1492</v>
      </c>
      <c r="C13" s="51" t="s">
        <v>492</v>
      </c>
      <c r="D13" s="100" t="s">
        <v>1508</v>
      </c>
      <c r="E13" s="116"/>
      <c r="F13" s="51" t="s">
        <v>814</v>
      </c>
    </row>
    <row r="14" spans="1:12" ht="20.25" customHeight="1" x14ac:dyDescent="0.2">
      <c r="A14" s="93" t="s">
        <v>1512</v>
      </c>
      <c r="B14" s="51" t="s">
        <v>1499</v>
      </c>
      <c r="C14" s="51" t="s">
        <v>492</v>
      </c>
      <c r="D14" s="100" t="s">
        <v>1508</v>
      </c>
      <c r="E14" s="114" t="s">
        <v>1496</v>
      </c>
      <c r="F14" s="51" t="s">
        <v>814</v>
      </c>
    </row>
    <row r="15" spans="1:12" ht="20.25" customHeight="1" x14ac:dyDescent="0.2">
      <c r="A15" s="93" t="s">
        <v>1513</v>
      </c>
      <c r="B15" s="51" t="s">
        <v>1499</v>
      </c>
      <c r="C15" s="51" t="s">
        <v>492</v>
      </c>
      <c r="D15" s="100" t="s">
        <v>1508</v>
      </c>
      <c r="E15" s="116"/>
      <c r="F15" s="51" t="s">
        <v>814</v>
      </c>
    </row>
    <row r="16" spans="1:12" ht="20.25" customHeight="1" x14ac:dyDescent="0.2">
      <c r="A16" s="93" t="s">
        <v>1514</v>
      </c>
      <c r="B16" s="51" t="s">
        <v>1499</v>
      </c>
      <c r="C16" s="51" t="s">
        <v>1515</v>
      </c>
      <c r="D16" s="100" t="s">
        <v>1508</v>
      </c>
      <c r="E16" s="114" t="s">
        <v>1496</v>
      </c>
      <c r="F16" s="51" t="s">
        <v>814</v>
      </c>
    </row>
    <row r="17" spans="1:6" ht="20.25" customHeight="1" x14ac:dyDescent="0.2">
      <c r="A17" s="93" t="s">
        <v>1101</v>
      </c>
      <c r="B17" s="51" t="s">
        <v>1492</v>
      </c>
      <c r="C17" s="51" t="s">
        <v>1516</v>
      </c>
      <c r="D17" s="51" t="s">
        <v>1508</v>
      </c>
      <c r="E17" s="116"/>
      <c r="F17" s="51" t="s">
        <v>1193</v>
      </c>
    </row>
    <row r="18" spans="1:6" ht="20.25" customHeight="1" x14ac:dyDescent="0.2">
      <c r="A18" s="93" t="s">
        <v>1517</v>
      </c>
      <c r="B18" s="51" t="s">
        <v>1499</v>
      </c>
      <c r="C18" s="51" t="s">
        <v>543</v>
      </c>
      <c r="D18" s="51" t="s">
        <v>1508</v>
      </c>
      <c r="E18" s="112" t="s">
        <v>1493</v>
      </c>
      <c r="F18" s="51" t="s">
        <v>1193</v>
      </c>
    </row>
    <row r="19" spans="1:6" ht="20.25" customHeight="1" x14ac:dyDescent="0.2">
      <c r="A19" s="93" t="s">
        <v>1518</v>
      </c>
      <c r="B19" s="51" t="s">
        <v>1499</v>
      </c>
      <c r="C19" s="51" t="s">
        <v>543</v>
      </c>
      <c r="D19" s="51"/>
      <c r="E19" s="116"/>
      <c r="F19" s="51" t="s">
        <v>1193</v>
      </c>
    </row>
    <row r="20" spans="1:6" ht="20.25" customHeight="1" x14ac:dyDescent="0.2">
      <c r="A20" s="93" t="s">
        <v>1519</v>
      </c>
      <c r="B20" s="51" t="s">
        <v>1492</v>
      </c>
      <c r="C20" s="51" t="s">
        <v>1516</v>
      </c>
      <c r="D20" s="51"/>
      <c r="E20" s="51"/>
      <c r="F20" s="51" t="s">
        <v>1193</v>
      </c>
    </row>
  </sheetData>
  <conditionalFormatting sqref="E11:E12">
    <cfRule type="cellIs" dxfId="19" priority="26" operator="equal">
      <formula>"LH Dev"</formula>
    </cfRule>
    <cfRule type="cellIs" dxfId="18" priority="27" operator="equal">
      <formula>"Cloud"</formula>
    </cfRule>
    <cfRule type="cellIs" dxfId="17" priority="28" operator="equal">
      <formula>"Ehub Dev"</formula>
    </cfRule>
    <cfRule type="cellIs" dxfId="16" priority="29" operator="equal">
      <formula>"VE Dev"</formula>
    </cfRule>
    <cfRule type="cellIs" dxfId="15" priority="30" operator="equal">
      <formula>"Elite Dev"</formula>
    </cfRule>
  </conditionalFormatting>
  <conditionalFormatting sqref="E20:E31">
    <cfRule type="cellIs" dxfId="14" priority="21" operator="equal">
      <formula>"LH Dev"</formula>
    </cfRule>
    <cfRule type="cellIs" dxfId="13" priority="22" operator="equal">
      <formula>"Cloud"</formula>
    </cfRule>
    <cfRule type="cellIs" dxfId="12" priority="23" operator="equal">
      <formula>"Ehub Dev"</formula>
    </cfRule>
    <cfRule type="cellIs" dxfId="11" priority="24" operator="equal">
      <formula>"VE Dev"</formula>
    </cfRule>
    <cfRule type="cellIs" dxfId="10" priority="25" operator="equal">
      <formula>"Elite Dev"</formula>
    </cfRule>
  </conditionalFormatting>
  <conditionalFormatting sqref="E33:E34">
    <cfRule type="cellIs" dxfId="9" priority="11" operator="equal">
      <formula>"LH Dev"</formula>
    </cfRule>
    <cfRule type="cellIs" dxfId="8" priority="12" operator="equal">
      <formula>"Cloud"</formula>
    </cfRule>
    <cfRule type="cellIs" dxfId="7" priority="13" operator="equal">
      <formula>"Ehub Dev"</formula>
    </cfRule>
    <cfRule type="cellIs" dxfId="6" priority="14" operator="equal">
      <formula>"VE Dev"</formula>
    </cfRule>
    <cfRule type="cellIs" dxfId="5" priority="15" operator="equal">
      <formula>"Elite Dev"</formula>
    </cfRule>
  </conditionalFormatting>
  <conditionalFormatting sqref="E36:E37">
    <cfRule type="cellIs" dxfId="4" priority="1" operator="equal">
      <formula>"LH Dev"</formula>
    </cfRule>
    <cfRule type="cellIs" dxfId="3" priority="2" operator="equal">
      <formula>"Cloud"</formula>
    </cfRule>
    <cfRule type="cellIs" dxfId="2" priority="3" operator="equal">
      <formula>"Ehub Dev"</formula>
    </cfRule>
    <cfRule type="cellIs" dxfId="1" priority="4" operator="equal">
      <formula>"VE Dev"</formula>
    </cfRule>
    <cfRule type="cellIs" dxfId="0" priority="5" operator="equal">
      <formula>"Elite Dev"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18B3-A3D7-466F-BFF9-B66214897957}">
  <dimension ref="A1:K22"/>
  <sheetViews>
    <sheetView workbookViewId="0">
      <selection activeCell="A23" sqref="A23"/>
    </sheetView>
  </sheetViews>
  <sheetFormatPr defaultColWidth="8.85546875" defaultRowHeight="20.25" customHeight="1" x14ac:dyDescent="0.2"/>
  <cols>
    <col min="1" max="1" width="32.7109375" style="82" customWidth="1"/>
    <col min="2" max="2" width="19.140625" style="59" customWidth="1"/>
    <col min="3" max="3" width="13.42578125" style="59" bestFit="1" customWidth="1"/>
    <col min="4" max="5" width="15" style="59" customWidth="1"/>
    <col min="6" max="8" width="9.140625"/>
    <col min="9" max="10" width="0" hidden="1" customWidth="1"/>
    <col min="11" max="11" width="28" hidden="1" customWidth="1"/>
    <col min="12" max="12" width="0" hidden="1" customWidth="1"/>
  </cols>
  <sheetData>
    <row r="1" spans="1:11" ht="20.25" customHeight="1" x14ac:dyDescent="0.2">
      <c r="A1" s="86" t="s">
        <v>1000</v>
      </c>
      <c r="B1" s="86" t="s">
        <v>1489</v>
      </c>
      <c r="C1" s="86" t="s">
        <v>303</v>
      </c>
      <c r="D1" s="86" t="s">
        <v>1008</v>
      </c>
      <c r="E1" s="86" t="s">
        <v>1005</v>
      </c>
    </row>
    <row r="2" spans="1:11" ht="20.25" customHeight="1" x14ac:dyDescent="0.2">
      <c r="A2" s="135" t="s">
        <v>1494</v>
      </c>
      <c r="B2" s="51" t="s">
        <v>1492</v>
      </c>
      <c r="C2" s="51" t="s">
        <v>73</v>
      </c>
      <c r="D2" s="51" t="s">
        <v>1113</v>
      </c>
      <c r="E2" s="51" t="s">
        <v>26</v>
      </c>
    </row>
    <row r="3" spans="1:11" ht="20.25" customHeight="1" x14ac:dyDescent="0.2">
      <c r="A3" s="135" t="s">
        <v>1497</v>
      </c>
      <c r="B3" s="51" t="s">
        <v>1492</v>
      </c>
      <c r="C3" s="51" t="s">
        <v>1495</v>
      </c>
      <c r="D3" s="51" t="s">
        <v>1113</v>
      </c>
      <c r="E3" s="51" t="s">
        <v>26</v>
      </c>
    </row>
    <row r="4" spans="1:11" ht="20.25" customHeight="1" x14ac:dyDescent="0.2">
      <c r="A4" s="135" t="s">
        <v>1520</v>
      </c>
      <c r="B4" s="51" t="s">
        <v>1499</v>
      </c>
      <c r="C4" s="51" t="s">
        <v>73</v>
      </c>
      <c r="D4" s="51" t="s">
        <v>1113</v>
      </c>
      <c r="E4" s="51" t="s">
        <v>26</v>
      </c>
      <c r="J4" s="112" t="s">
        <v>1493</v>
      </c>
      <c r="K4" t="s">
        <v>1500</v>
      </c>
    </row>
    <row r="5" spans="1:11" ht="20.25" customHeight="1" x14ac:dyDescent="0.2">
      <c r="A5" s="135" t="s">
        <v>1521</v>
      </c>
      <c r="B5" s="51"/>
      <c r="C5" s="51" t="s">
        <v>1023</v>
      </c>
      <c r="D5" s="51" t="s">
        <v>1508</v>
      </c>
      <c r="E5" s="51" t="s">
        <v>26</v>
      </c>
      <c r="J5" s="114" t="s">
        <v>1496</v>
      </c>
      <c r="K5" t="s">
        <v>1502</v>
      </c>
    </row>
    <row r="6" spans="1:11" ht="20.25" customHeight="1" x14ac:dyDescent="0.2">
      <c r="A6" s="135" t="s">
        <v>1021</v>
      </c>
      <c r="B6" s="51" t="s">
        <v>1492</v>
      </c>
      <c r="C6" s="51" t="s">
        <v>1023</v>
      </c>
      <c r="D6" s="51" t="s">
        <v>1508</v>
      </c>
      <c r="E6" s="51" t="s">
        <v>26</v>
      </c>
      <c r="J6" s="115" t="s">
        <v>1503</v>
      </c>
      <c r="K6" t="s">
        <v>1504</v>
      </c>
    </row>
    <row r="7" spans="1:11" ht="20.25" customHeight="1" x14ac:dyDescent="0.2">
      <c r="A7" s="135" t="s">
        <v>1522</v>
      </c>
      <c r="B7" s="51" t="s">
        <v>1492</v>
      </c>
      <c r="C7" s="51" t="s">
        <v>1023</v>
      </c>
      <c r="D7" s="51" t="s">
        <v>1508</v>
      </c>
      <c r="E7" s="51" t="s">
        <v>26</v>
      </c>
      <c r="J7" s="116"/>
      <c r="K7" t="s">
        <v>1507</v>
      </c>
    </row>
    <row r="8" spans="1:11" ht="20.25" customHeight="1" x14ac:dyDescent="0.2">
      <c r="A8" s="135" t="s">
        <v>1505</v>
      </c>
      <c r="B8" s="51" t="s">
        <v>1492</v>
      </c>
      <c r="C8" s="51" t="s">
        <v>1495</v>
      </c>
      <c r="D8" s="51" t="s">
        <v>1506</v>
      </c>
      <c r="E8" s="51" t="s">
        <v>26</v>
      </c>
    </row>
    <row r="9" spans="1:11" ht="20.25" customHeight="1" x14ac:dyDescent="0.2">
      <c r="A9" s="135" t="s">
        <v>1523</v>
      </c>
      <c r="B9" s="51"/>
      <c r="C9" s="51" t="s">
        <v>73</v>
      </c>
      <c r="D9" s="100" t="s">
        <v>1508</v>
      </c>
      <c r="E9" s="105" t="s">
        <v>26</v>
      </c>
    </row>
    <row r="10" spans="1:11" ht="20.25" customHeight="1" x14ac:dyDescent="0.2">
      <c r="A10" s="135" t="s">
        <v>651</v>
      </c>
      <c r="B10" s="51" t="s">
        <v>63</v>
      </c>
      <c r="C10" s="51" t="s">
        <v>63</v>
      </c>
      <c r="D10" s="100" t="s">
        <v>1508</v>
      </c>
      <c r="E10" s="105" t="s">
        <v>16</v>
      </c>
    </row>
    <row r="11" spans="1:11" ht="20.25" customHeight="1" x14ac:dyDescent="0.2">
      <c r="A11" s="135"/>
      <c r="B11" s="51"/>
      <c r="C11" s="51"/>
      <c r="D11" s="100"/>
      <c r="E11" s="105"/>
    </row>
    <row r="12" spans="1:11" ht="20.25" customHeight="1" x14ac:dyDescent="0.2">
      <c r="A12" s="135" t="s">
        <v>1524</v>
      </c>
      <c r="B12" s="51" t="s">
        <v>63</v>
      </c>
      <c r="C12" s="51" t="s">
        <v>63</v>
      </c>
      <c r="D12" s="51" t="s">
        <v>1508</v>
      </c>
      <c r="E12" s="105" t="s">
        <v>16</v>
      </c>
    </row>
    <row r="13" spans="1:11" ht="20.25" customHeight="1" x14ac:dyDescent="0.2">
      <c r="A13" s="135" t="s">
        <v>1509</v>
      </c>
      <c r="B13" s="51" t="s">
        <v>1499</v>
      </c>
      <c r="C13" s="51" t="s">
        <v>1023</v>
      </c>
      <c r="D13" s="51" t="s">
        <v>1508</v>
      </c>
      <c r="E13" s="51" t="s">
        <v>503</v>
      </c>
    </row>
    <row r="14" spans="1:11" ht="20.25" customHeight="1" x14ac:dyDescent="0.2">
      <c r="A14" s="135" t="s">
        <v>1510</v>
      </c>
      <c r="B14" s="51" t="s">
        <v>1492</v>
      </c>
      <c r="C14" s="51" t="s">
        <v>1023</v>
      </c>
      <c r="D14" s="51" t="s">
        <v>1113</v>
      </c>
      <c r="E14" s="51" t="s">
        <v>503</v>
      </c>
    </row>
    <row r="15" spans="1:11" ht="20.25" customHeight="1" x14ac:dyDescent="0.2">
      <c r="A15" s="135" t="s">
        <v>1525</v>
      </c>
      <c r="B15" s="51" t="s">
        <v>1499</v>
      </c>
      <c r="C15" s="51" t="s">
        <v>1515</v>
      </c>
      <c r="D15" s="51" t="s">
        <v>1113</v>
      </c>
      <c r="E15" s="51" t="s">
        <v>814</v>
      </c>
    </row>
    <row r="16" spans="1:11" ht="20.25" customHeight="1" x14ac:dyDescent="0.2">
      <c r="A16" s="136" t="s">
        <v>1526</v>
      </c>
      <c r="B16" s="51" t="s">
        <v>1492</v>
      </c>
      <c r="C16" s="51" t="s">
        <v>1515</v>
      </c>
      <c r="D16" s="51" t="s">
        <v>1508</v>
      </c>
      <c r="E16" s="51" t="s">
        <v>814</v>
      </c>
    </row>
    <row r="17" spans="1:5" ht="20.25" customHeight="1" x14ac:dyDescent="0.2">
      <c r="A17" s="137" t="s">
        <v>1527</v>
      </c>
      <c r="B17" s="113" t="s">
        <v>1499</v>
      </c>
      <c r="C17" s="113" t="s">
        <v>492</v>
      </c>
      <c r="D17" s="133" t="s">
        <v>1508</v>
      </c>
      <c r="E17" s="134" t="s">
        <v>814</v>
      </c>
    </row>
    <row r="18" spans="1:5" ht="20.25" customHeight="1" x14ac:dyDescent="0.2">
      <c r="A18" s="136" t="s">
        <v>1528</v>
      </c>
      <c r="B18" s="51" t="s">
        <v>1492</v>
      </c>
      <c r="C18" s="51" t="s">
        <v>67</v>
      </c>
      <c r="D18" s="100" t="s">
        <v>1508</v>
      </c>
      <c r="E18" s="105" t="s">
        <v>814</v>
      </c>
    </row>
    <row r="19" spans="1:5" ht="20.25" customHeight="1" x14ac:dyDescent="0.2">
      <c r="A19" s="93" t="s">
        <v>1101</v>
      </c>
      <c r="B19" s="51" t="s">
        <v>1492</v>
      </c>
      <c r="C19" s="51" t="s">
        <v>1516</v>
      </c>
      <c r="D19" s="51" t="s">
        <v>1508</v>
      </c>
      <c r="E19" s="51" t="s">
        <v>1193</v>
      </c>
    </row>
    <row r="20" spans="1:5" ht="20.25" customHeight="1" x14ac:dyDescent="0.2">
      <c r="A20" s="93" t="s">
        <v>1517</v>
      </c>
      <c r="B20" s="51" t="s">
        <v>1499</v>
      </c>
      <c r="C20" s="51" t="s">
        <v>543</v>
      </c>
      <c r="D20" s="51" t="s">
        <v>1508</v>
      </c>
      <c r="E20" s="51" t="s">
        <v>1193</v>
      </c>
    </row>
    <row r="21" spans="1:5" ht="20.25" customHeight="1" x14ac:dyDescent="0.2">
      <c r="A21" s="93" t="s">
        <v>1518</v>
      </c>
      <c r="B21" s="51" t="s">
        <v>1499</v>
      </c>
      <c r="C21" s="51" t="s">
        <v>543</v>
      </c>
      <c r="D21" s="51"/>
      <c r="E21" s="51" t="s">
        <v>1193</v>
      </c>
    </row>
    <row r="22" spans="1:5" ht="20.25" customHeight="1" x14ac:dyDescent="0.2">
      <c r="A22" s="93" t="s">
        <v>1519</v>
      </c>
      <c r="B22" s="51" t="s">
        <v>1492</v>
      </c>
      <c r="C22" s="51" t="s">
        <v>1516</v>
      </c>
      <c r="D22" s="51"/>
      <c r="E22" s="51" t="s">
        <v>1193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D6EB-8769-450D-BB18-F671C91A7588}">
  <dimension ref="A4:Q84"/>
  <sheetViews>
    <sheetView workbookViewId="0">
      <selection activeCell="M85" sqref="M85"/>
    </sheetView>
  </sheetViews>
  <sheetFormatPr defaultColWidth="8.85546875" defaultRowHeight="12.75" x14ac:dyDescent="0.2"/>
  <cols>
    <col min="1" max="1" width="8.7109375" bestFit="1" customWidth="1"/>
    <col min="2" max="2" width="13.42578125" bestFit="1" customWidth="1"/>
    <col min="6" max="6" width="0" hidden="1" customWidth="1"/>
    <col min="7" max="7" width="22.7109375" customWidth="1"/>
    <col min="8" max="8" width="23.42578125" customWidth="1"/>
    <col min="9" max="9" width="19" customWidth="1"/>
    <col min="10" max="10" width="23.42578125" customWidth="1"/>
    <col min="11" max="11" width="14.140625" bestFit="1" customWidth="1"/>
    <col min="12" max="12" width="20.7109375" bestFit="1" customWidth="1"/>
    <col min="13" max="13" width="18.7109375" bestFit="1" customWidth="1"/>
    <col min="14" max="14" width="19" bestFit="1" customWidth="1"/>
    <col min="15" max="15" width="21.28515625" bestFit="1" customWidth="1"/>
    <col min="16" max="16" width="17.7109375" bestFit="1" customWidth="1"/>
  </cols>
  <sheetData>
    <row r="4" spans="1:17" x14ac:dyDescent="0.2">
      <c r="A4" s="683" t="s">
        <v>1529</v>
      </c>
      <c r="B4" s="683" t="s">
        <v>1530</v>
      </c>
      <c r="G4" s="685" t="s">
        <v>1531</v>
      </c>
      <c r="H4" s="685" t="s">
        <v>1532</v>
      </c>
      <c r="I4" s="685" t="s">
        <v>538</v>
      </c>
      <c r="J4" s="685" t="s">
        <v>1533</v>
      </c>
      <c r="K4" t="s">
        <v>480</v>
      </c>
      <c r="M4" s="683"/>
      <c r="N4" s="683"/>
      <c r="O4" s="683"/>
      <c r="P4" s="683"/>
      <c r="Q4" t="s">
        <v>1534</v>
      </c>
    </row>
    <row r="5" spans="1:17" x14ac:dyDescent="0.2">
      <c r="A5" s="683" t="s">
        <v>1531</v>
      </c>
      <c r="B5" s="683">
        <v>32</v>
      </c>
      <c r="G5" s="686" t="s">
        <v>1240</v>
      </c>
      <c r="H5" t="s">
        <v>1535</v>
      </c>
      <c r="I5" s="686" t="s">
        <v>1536</v>
      </c>
      <c r="J5" t="s">
        <v>227</v>
      </c>
      <c r="K5" s="683" t="s">
        <v>516</v>
      </c>
      <c r="L5" s="683"/>
    </row>
    <row r="6" spans="1:17" x14ac:dyDescent="0.2">
      <c r="A6" s="683" t="s">
        <v>1532</v>
      </c>
      <c r="B6" s="683">
        <v>27</v>
      </c>
      <c r="G6" s="686" t="s">
        <v>1537</v>
      </c>
      <c r="H6" t="s">
        <v>1538</v>
      </c>
      <c r="I6" s="686" t="s">
        <v>1539</v>
      </c>
      <c r="J6" t="s">
        <v>235</v>
      </c>
      <c r="K6" s="683" t="s">
        <v>486</v>
      </c>
      <c r="L6" s="683"/>
    </row>
    <row r="7" spans="1:17" x14ac:dyDescent="0.2">
      <c r="A7" s="683" t="s">
        <v>538</v>
      </c>
      <c r="B7" s="683">
        <v>15</v>
      </c>
      <c r="G7" s="686" t="s">
        <v>1540</v>
      </c>
      <c r="H7" t="s">
        <v>1541</v>
      </c>
      <c r="I7" s="686" t="s">
        <v>1542</v>
      </c>
      <c r="J7" t="s">
        <v>245</v>
      </c>
      <c r="K7" t="s">
        <v>14</v>
      </c>
    </row>
    <row r="8" spans="1:17" x14ac:dyDescent="0.2">
      <c r="A8" s="683" t="s">
        <v>1533</v>
      </c>
      <c r="B8" s="683">
        <v>46</v>
      </c>
      <c r="G8" s="686" t="s">
        <v>1543</v>
      </c>
      <c r="H8" t="s">
        <v>1544</v>
      </c>
      <c r="I8" s="686" t="s">
        <v>246</v>
      </c>
      <c r="J8" t="s">
        <v>253</v>
      </c>
      <c r="K8" t="s">
        <v>525</v>
      </c>
    </row>
    <row r="9" spans="1:17" x14ac:dyDescent="0.2">
      <c r="G9" s="686" t="s">
        <v>1545</v>
      </c>
      <c r="H9" t="s">
        <v>1546</v>
      </c>
      <c r="I9" s="686" t="s">
        <v>254</v>
      </c>
      <c r="J9" t="s">
        <v>261</v>
      </c>
    </row>
    <row r="10" spans="1:17" x14ac:dyDescent="0.2">
      <c r="G10" s="686" t="s">
        <v>1547</v>
      </c>
      <c r="H10" t="s">
        <v>193</v>
      </c>
      <c r="I10" s="686" t="s">
        <v>298</v>
      </c>
      <c r="J10" t="s">
        <v>268</v>
      </c>
      <c r="Q10" s="683"/>
    </row>
    <row r="11" spans="1:17" x14ac:dyDescent="0.2">
      <c r="G11" s="686" t="s">
        <v>1548</v>
      </c>
      <c r="H11" t="s">
        <v>1549</v>
      </c>
      <c r="I11" s="686" t="s">
        <v>295</v>
      </c>
      <c r="J11" t="s">
        <v>265</v>
      </c>
    </row>
    <row r="12" spans="1:17" x14ac:dyDescent="0.2">
      <c r="A12" s="683" t="s">
        <v>1550</v>
      </c>
      <c r="B12" s="683" t="s">
        <v>1530</v>
      </c>
      <c r="G12" s="686" t="s">
        <v>1551</v>
      </c>
      <c r="H12" t="s">
        <v>1552</v>
      </c>
      <c r="I12" s="686" t="s">
        <v>219</v>
      </c>
      <c r="J12" t="s">
        <v>1553</v>
      </c>
    </row>
    <row r="13" spans="1:17" x14ac:dyDescent="0.2">
      <c r="A13" s="683" t="s">
        <v>1531</v>
      </c>
      <c r="B13" s="683">
        <v>30</v>
      </c>
      <c r="G13" s="686" t="s">
        <v>1554</v>
      </c>
      <c r="H13" t="s">
        <v>1555</v>
      </c>
      <c r="I13" s="686" t="s">
        <v>228</v>
      </c>
      <c r="J13" t="s">
        <v>1556</v>
      </c>
    </row>
    <row r="14" spans="1:17" x14ac:dyDescent="0.2">
      <c r="A14" s="683" t="s">
        <v>1532</v>
      </c>
      <c r="B14" s="683">
        <v>27</v>
      </c>
      <c r="G14" s="686" t="s">
        <v>1557</v>
      </c>
      <c r="H14" t="s">
        <v>217</v>
      </c>
      <c r="I14" s="686"/>
      <c r="J14" t="s">
        <v>262</v>
      </c>
      <c r="Q14" s="683"/>
    </row>
    <row r="15" spans="1:17" x14ac:dyDescent="0.2">
      <c r="A15" s="683" t="s">
        <v>538</v>
      </c>
      <c r="B15" s="683">
        <v>18</v>
      </c>
      <c r="G15" s="686" t="s">
        <v>1558</v>
      </c>
      <c r="H15" t="s">
        <v>226</v>
      </c>
      <c r="I15" s="686" t="s">
        <v>40</v>
      </c>
      <c r="J15" t="s">
        <v>269</v>
      </c>
      <c r="Q15" s="683"/>
    </row>
    <row r="16" spans="1:17" x14ac:dyDescent="0.2">
      <c r="A16" s="683" t="s">
        <v>1533</v>
      </c>
      <c r="B16" s="683">
        <v>60</v>
      </c>
      <c r="G16" s="686" t="s">
        <v>1559</v>
      </c>
      <c r="H16" t="s">
        <v>244</v>
      </c>
      <c r="I16" s="686" t="s">
        <v>105</v>
      </c>
      <c r="J16" t="s">
        <v>276</v>
      </c>
    </row>
    <row r="17" spans="7:17" x14ac:dyDescent="0.2">
      <c r="G17" s="686" t="s">
        <v>1560</v>
      </c>
      <c r="H17" t="s">
        <v>702</v>
      </c>
      <c r="I17" s="686" t="s">
        <v>8</v>
      </c>
      <c r="J17" t="s">
        <v>283</v>
      </c>
    </row>
    <row r="18" spans="7:17" x14ac:dyDescent="0.2">
      <c r="G18" s="686" t="s">
        <v>503</v>
      </c>
      <c r="H18" t="s">
        <v>1561</v>
      </c>
      <c r="I18" s="686" t="s">
        <v>1562</v>
      </c>
      <c r="J18" t="s">
        <v>288</v>
      </c>
    </row>
    <row r="19" spans="7:17" x14ac:dyDescent="0.2">
      <c r="G19" s="686" t="s">
        <v>28</v>
      </c>
      <c r="H19" t="s">
        <v>668</v>
      </c>
      <c r="I19" s="686" t="s">
        <v>517</v>
      </c>
      <c r="J19" t="s">
        <v>292</v>
      </c>
      <c r="Q19" s="683"/>
    </row>
    <row r="20" spans="7:17" x14ac:dyDescent="0.2">
      <c r="G20" s="686" t="s">
        <v>1563</v>
      </c>
      <c r="H20" t="s">
        <v>1564</v>
      </c>
      <c r="I20" s="686" t="s">
        <v>1372</v>
      </c>
      <c r="J20" t="s">
        <v>296</v>
      </c>
      <c r="Q20" s="683"/>
    </row>
    <row r="21" spans="7:17" x14ac:dyDescent="0.2">
      <c r="G21" s="686" t="s">
        <v>16</v>
      </c>
      <c r="H21" t="s">
        <v>1565</v>
      </c>
      <c r="I21" s="686" t="s">
        <v>1370</v>
      </c>
      <c r="J21" t="s">
        <v>299</v>
      </c>
    </row>
    <row r="22" spans="7:17" x14ac:dyDescent="0.2">
      <c r="G22" s="686" t="s">
        <v>524</v>
      </c>
      <c r="H22" t="s">
        <v>1566</v>
      </c>
      <c r="I22" s="686" t="s">
        <v>103</v>
      </c>
      <c r="J22" s="684" t="s">
        <v>1567</v>
      </c>
    </row>
    <row r="23" spans="7:17" x14ac:dyDescent="0.2">
      <c r="G23" s="686" t="s">
        <v>4</v>
      </c>
      <c r="H23" t="s">
        <v>1568</v>
      </c>
      <c r="I23" s="686" t="s">
        <v>221</v>
      </c>
      <c r="J23" s="123"/>
    </row>
    <row r="24" spans="7:17" x14ac:dyDescent="0.2">
      <c r="G24" s="686" t="s">
        <v>1</v>
      </c>
      <c r="H24" t="s">
        <v>1569</v>
      </c>
      <c r="I24" s="686" t="s">
        <v>1570</v>
      </c>
      <c r="J24" s="123" t="s">
        <v>274</v>
      </c>
    </row>
    <row r="25" spans="7:17" x14ac:dyDescent="0.2">
      <c r="G25" s="686" t="s">
        <v>500</v>
      </c>
      <c r="H25" t="s">
        <v>1571</v>
      </c>
      <c r="I25" s="686" t="s">
        <v>1572</v>
      </c>
    </row>
    <row r="26" spans="7:17" x14ac:dyDescent="0.2">
      <c r="G26" s="687" t="s">
        <v>1573</v>
      </c>
      <c r="H26" t="s">
        <v>1574</v>
      </c>
      <c r="J26" t="s">
        <v>1575</v>
      </c>
    </row>
    <row r="27" spans="7:17" x14ac:dyDescent="0.2">
      <c r="G27" s="687" t="s">
        <v>1576</v>
      </c>
      <c r="H27" t="s">
        <v>1577</v>
      </c>
      <c r="J27" t="s">
        <v>265</v>
      </c>
    </row>
    <row r="28" spans="7:17" ht="15" x14ac:dyDescent="0.25">
      <c r="G28" s="686" t="s">
        <v>1578</v>
      </c>
      <c r="H28" t="s">
        <v>1579</v>
      </c>
      <c r="J28" t="s">
        <v>1580</v>
      </c>
    </row>
    <row r="29" spans="7:17" x14ac:dyDescent="0.2">
      <c r="G29" s="686" t="s">
        <v>493</v>
      </c>
      <c r="H29" t="s">
        <v>159</v>
      </c>
    </row>
    <row r="30" spans="7:17" x14ac:dyDescent="0.2">
      <c r="G30" s="686" t="s">
        <v>515</v>
      </c>
      <c r="H30" t="s">
        <v>196</v>
      </c>
      <c r="J30" t="s">
        <v>237</v>
      </c>
    </row>
    <row r="31" spans="7:17" x14ac:dyDescent="0.2">
      <c r="G31" s="686" t="s">
        <v>1357</v>
      </c>
      <c r="H31" t="s">
        <v>172</v>
      </c>
      <c r="J31" t="s">
        <v>247</v>
      </c>
    </row>
    <row r="32" spans="7:17" x14ac:dyDescent="0.2">
      <c r="G32" s="686" t="s">
        <v>1581</v>
      </c>
      <c r="H32" t="s">
        <v>1582</v>
      </c>
      <c r="J32" t="s">
        <v>255</v>
      </c>
    </row>
    <row r="33" spans="7:10" x14ac:dyDescent="0.2">
      <c r="G33" s="686" t="s">
        <v>96</v>
      </c>
      <c r="H33" t="s">
        <v>1583</v>
      </c>
      <c r="J33" t="s">
        <v>263</v>
      </c>
    </row>
    <row r="34" spans="7:10" x14ac:dyDescent="0.2">
      <c r="G34" s="686" t="s">
        <v>1584</v>
      </c>
      <c r="H34" t="s">
        <v>1585</v>
      </c>
      <c r="J34" t="s">
        <v>270</v>
      </c>
    </row>
    <row r="35" spans="7:10" ht="15" x14ac:dyDescent="0.2">
      <c r="G35" s="686" t="s">
        <v>1027</v>
      </c>
      <c r="H35" s="620" t="s">
        <v>162</v>
      </c>
      <c r="J35" t="s">
        <v>1586</v>
      </c>
    </row>
    <row r="36" spans="7:10" ht="15" x14ac:dyDescent="0.2">
      <c r="G36" s="686" t="s">
        <v>1587</v>
      </c>
      <c r="H36" s="621" t="s">
        <v>175</v>
      </c>
      <c r="J36" t="s">
        <v>284</v>
      </c>
    </row>
    <row r="37" spans="7:10" ht="15" x14ac:dyDescent="0.2">
      <c r="G37" s="686" t="s">
        <v>114</v>
      </c>
      <c r="H37" s="621" t="s">
        <v>187</v>
      </c>
      <c r="J37" t="s">
        <v>289</v>
      </c>
    </row>
    <row r="38" spans="7:10" ht="15" x14ac:dyDescent="0.2">
      <c r="G38" s="686" t="s">
        <v>484</v>
      </c>
      <c r="H38" s="621" t="s">
        <v>199</v>
      </c>
    </row>
    <row r="39" spans="7:10" x14ac:dyDescent="0.2">
      <c r="G39" s="686" t="s">
        <v>1588</v>
      </c>
      <c r="J39" t="s">
        <v>297</v>
      </c>
    </row>
    <row r="40" spans="7:10" x14ac:dyDescent="0.2">
      <c r="G40" t="s">
        <v>1589</v>
      </c>
      <c r="J40" t="s">
        <v>300</v>
      </c>
    </row>
    <row r="41" spans="7:10" x14ac:dyDescent="0.2">
      <c r="G41" t="s">
        <v>1353</v>
      </c>
      <c r="J41" t="s">
        <v>302</v>
      </c>
    </row>
    <row r="42" spans="7:10" x14ac:dyDescent="0.2">
      <c r="J42" t="s">
        <v>1590</v>
      </c>
    </row>
    <row r="43" spans="7:10" x14ac:dyDescent="0.2">
      <c r="J43" t="s">
        <v>1308</v>
      </c>
    </row>
    <row r="44" spans="7:10" x14ac:dyDescent="0.2">
      <c r="J44" t="s">
        <v>1591</v>
      </c>
    </row>
    <row r="45" spans="7:10" x14ac:dyDescent="0.2">
      <c r="J45" t="s">
        <v>1592</v>
      </c>
    </row>
    <row r="46" spans="7:10" x14ac:dyDescent="0.2">
      <c r="J46" t="s">
        <v>1593</v>
      </c>
    </row>
    <row r="47" spans="7:10" x14ac:dyDescent="0.2">
      <c r="J47" t="s">
        <v>763</v>
      </c>
    </row>
    <row r="48" spans="7:10" x14ac:dyDescent="0.2">
      <c r="J48" t="s">
        <v>1594</v>
      </c>
    </row>
    <row r="49" spans="10:10" x14ac:dyDescent="0.2">
      <c r="J49" t="s">
        <v>704</v>
      </c>
    </row>
    <row r="50" spans="10:10" x14ac:dyDescent="0.2">
      <c r="J50" t="s">
        <v>724</v>
      </c>
    </row>
    <row r="51" spans="10:10" x14ac:dyDescent="0.2">
      <c r="J51" t="s">
        <v>1595</v>
      </c>
    </row>
    <row r="52" spans="10:10" x14ac:dyDescent="0.2">
      <c r="J52" t="s">
        <v>750</v>
      </c>
    </row>
    <row r="53" spans="10:10" x14ac:dyDescent="0.2">
      <c r="J53" t="s">
        <v>1596</v>
      </c>
    </row>
    <row r="54" spans="10:10" x14ac:dyDescent="0.2">
      <c r="J54" t="s">
        <v>1597</v>
      </c>
    </row>
    <row r="55" spans="10:10" x14ac:dyDescent="0.2">
      <c r="J55" t="s">
        <v>1598</v>
      </c>
    </row>
    <row r="56" spans="10:10" x14ac:dyDescent="0.2">
      <c r="J56" t="s">
        <v>1599</v>
      </c>
    </row>
    <row r="57" spans="10:10" x14ac:dyDescent="0.2">
      <c r="J57" t="s">
        <v>1600</v>
      </c>
    </row>
    <row r="58" spans="10:10" x14ac:dyDescent="0.2">
      <c r="J58" t="s">
        <v>1601</v>
      </c>
    </row>
    <row r="59" spans="10:10" x14ac:dyDescent="0.2">
      <c r="J59" t="s">
        <v>1602</v>
      </c>
    </row>
    <row r="63" spans="10:10" x14ac:dyDescent="0.2">
      <c r="J63" t="s">
        <v>230</v>
      </c>
    </row>
    <row r="64" spans="10:10" x14ac:dyDescent="0.2">
      <c r="J64" t="s">
        <v>239</v>
      </c>
    </row>
    <row r="65" spans="10:10" x14ac:dyDescent="0.2">
      <c r="J65" t="s">
        <v>249</v>
      </c>
    </row>
    <row r="66" spans="10:10" x14ac:dyDescent="0.2">
      <c r="J66" t="s">
        <v>256</v>
      </c>
    </row>
    <row r="67" spans="10:10" x14ac:dyDescent="0.2">
      <c r="J67" t="s">
        <v>1603</v>
      </c>
    </row>
    <row r="68" spans="10:10" x14ac:dyDescent="0.2">
      <c r="J68" t="s">
        <v>271</v>
      </c>
    </row>
    <row r="69" spans="10:10" x14ac:dyDescent="0.2">
      <c r="J69" t="s">
        <v>1604</v>
      </c>
    </row>
    <row r="70" spans="10:10" x14ac:dyDescent="0.2">
      <c r="J70" t="s">
        <v>1605</v>
      </c>
    </row>
    <row r="71" spans="10:10" ht="15" x14ac:dyDescent="0.2">
      <c r="J71" s="584" t="s">
        <v>157</v>
      </c>
    </row>
    <row r="72" spans="10:10" ht="15" x14ac:dyDescent="0.2">
      <c r="J72" s="584" t="s">
        <v>170</v>
      </c>
    </row>
    <row r="73" spans="10:10" ht="15" x14ac:dyDescent="0.2">
      <c r="J73" s="584" t="s">
        <v>183</v>
      </c>
    </row>
    <row r="74" spans="10:10" ht="15" x14ac:dyDescent="0.2">
      <c r="J74" s="584" t="s">
        <v>195</v>
      </c>
    </row>
    <row r="75" spans="10:10" ht="15" x14ac:dyDescent="0.2">
      <c r="J75" s="584" t="s">
        <v>204</v>
      </c>
    </row>
    <row r="76" spans="10:10" ht="15" x14ac:dyDescent="0.2">
      <c r="J76" s="584" t="s">
        <v>211</v>
      </c>
    </row>
    <row r="77" spans="10:10" ht="15" x14ac:dyDescent="0.2">
      <c r="J77" s="584" t="s">
        <v>220</v>
      </c>
    </row>
    <row r="78" spans="10:10" ht="15" x14ac:dyDescent="0.2">
      <c r="J78" s="584" t="s">
        <v>229</v>
      </c>
    </row>
    <row r="79" spans="10:10" ht="15" x14ac:dyDescent="0.2">
      <c r="J79" s="584" t="s">
        <v>238</v>
      </c>
    </row>
    <row r="80" spans="10:10" ht="15" x14ac:dyDescent="0.2">
      <c r="J80" s="584" t="s">
        <v>248</v>
      </c>
    </row>
    <row r="82" spans="10:10" ht="15" x14ac:dyDescent="0.2">
      <c r="J82" s="576" t="s">
        <v>163</v>
      </c>
    </row>
    <row r="83" spans="10:10" ht="15" x14ac:dyDescent="0.2">
      <c r="J83" s="576" t="s">
        <v>176</v>
      </c>
    </row>
    <row r="84" spans="10:10" ht="15" x14ac:dyDescent="0.2">
      <c r="J84" s="576" t="s">
        <v>188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7FA7A4C8E5E49A98E460E1FD98EA3" ma:contentTypeVersion="15" ma:contentTypeDescription="Create a new document." ma:contentTypeScope="" ma:versionID="d3ede1962a15f9c316ba4232a1838be2">
  <xsd:schema xmlns:xsd="http://www.w3.org/2001/XMLSchema" xmlns:xs="http://www.w3.org/2001/XMLSchema" xmlns:p="http://schemas.microsoft.com/office/2006/metadata/properties" xmlns:ns2="bf3e91fb-be29-4af7-97bf-ee90372843d5" xmlns:ns3="3ffdf28c-7479-495e-84ce-1df32b4778f2" targetNamespace="http://schemas.microsoft.com/office/2006/metadata/properties" ma:root="true" ma:fieldsID="138e3c9caa2e805a72be9da4e71237f0" ns2:_="" ns3:_="">
    <xsd:import namespace="bf3e91fb-be29-4af7-97bf-ee90372843d5"/>
    <xsd:import namespace="3ffdf28c-7479-495e-84ce-1df32b4778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dat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3e91fb-be29-4af7-97bf-ee90372843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fdf28c-7479-495e-84ce-1df32b4778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ffdf28c-7479-495e-84ce-1df32b4778f2">
      <UserInfo>
        <DisplayName>Jayesh Sahasi</DisplayName>
        <AccountId>102</AccountId>
        <AccountType/>
      </UserInfo>
      <UserInfo>
        <DisplayName>Jagjit Singh</DisplayName>
        <AccountId>60</AccountId>
        <AccountType/>
      </UserInfo>
      <UserInfo>
        <DisplayName>Mayank Gupta</DisplayName>
        <AccountId>2535</AccountId>
        <AccountType/>
      </UserInfo>
      <UserInfo>
        <DisplayName>Rao Bhethanabotla</DisplayName>
        <AccountId>2665</AccountId>
        <AccountType/>
      </UserInfo>
      <UserInfo>
        <DisplayName>Steve Sims</DisplayName>
        <AccountId>2877</AccountId>
        <AccountType/>
      </UserInfo>
      <UserInfo>
        <DisplayName>Kashan Babar</DisplayName>
        <AccountId>4372</AccountId>
        <AccountType/>
      </UserInfo>
    </SharedWithUsers>
    <date xmlns="bf3e91fb-be29-4af7-97bf-ee90372843d5" xsi:nil="true"/>
  </documentManagement>
</p:properties>
</file>

<file path=customXml/itemProps1.xml><?xml version="1.0" encoding="utf-8"?>
<ds:datastoreItem xmlns:ds="http://schemas.openxmlformats.org/officeDocument/2006/customXml" ds:itemID="{8C9BD89C-FD4E-4193-ABCF-3B87F32D83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1154AB-5D30-4B30-B826-C3F757023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3e91fb-be29-4af7-97bf-ee90372843d5"/>
    <ds:schemaRef ds:uri="3ffdf28c-7479-495e-84ce-1df32b4778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1E09F-F381-42EC-8CFA-1014FEFC16E0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3ffdf28c-7479-495e-84ce-1df32b4778f2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f3e91fb-be29-4af7-97bf-ee90372843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Team Reorg</vt:lpstr>
      <vt:lpstr>Jayesh-LLM-Context Prompt</vt:lpstr>
      <vt:lpstr>Teams Hierachy</vt:lpstr>
      <vt:lpstr>Teams List</vt:lpstr>
      <vt:lpstr>Sheet3</vt:lpstr>
      <vt:lpstr>dont-use</vt:lpstr>
      <vt:lpstr>Sheet1</vt:lpstr>
      <vt:lpstr>Staff List</vt:lpstr>
      <vt:lpstr>Contractor - Staff List</vt:lpstr>
      <vt:lpstr>Team</vt:lpstr>
      <vt:lpstr>SF-NC Team</vt:lpstr>
      <vt:lpstr>Sheet2</vt:lpstr>
      <vt:lpstr>JIRA Users obsolete</vt:lpstr>
      <vt:lpstr>Resource - Vendor List</vt:lpstr>
      <vt:lpstr>Resource - Vendor List Dec 21</vt:lpstr>
      <vt:lpstr>IsshBhag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Jayesh Sahasi</cp:lastModifiedBy>
  <cp:revision/>
  <dcterms:created xsi:type="dcterms:W3CDTF">2020-06-29T23:03:26Z</dcterms:created>
  <dcterms:modified xsi:type="dcterms:W3CDTF">2026-02-26T18:51:08Z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0x0101009647FA7A4C8E5E49A98E460E1FD98EA3</vt:lpwstr>
  </property>
</Properties>
</file>